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13_ncr:1_{665C3908-0E84-4335-B5AB-F4A84EFEA3CF}" xr6:coauthVersionLast="47" xr6:coauthVersionMax="47" xr10:uidLastSave="{00000000-0000-0000-0000-000000000000}"/>
  <bookViews>
    <workbookView xWindow="12" yWindow="720" windowWidth="23028" windowHeight="12240" xr2:uid="{00000000-000D-0000-FFFF-FFFF00000000}"/>
  </bookViews>
  <sheets>
    <sheet name="06" sheetId="1" r:id="rId1"/>
    <sheet name="S18" sheetId="2" r:id="rId2"/>
    <sheet name="S19" sheetId="3" r:id="rId3"/>
    <sheet name="S20" sheetId="4" r:id="rId4"/>
    <sheet name="S21" sheetId="5" r:id="rId5"/>
    <sheet name="S22" sheetId="6" r:id="rId6"/>
  </sheets>
  <definedNames>
    <definedName name="Excel_BuiltIn_Print_Titles" localSheetId="0">'06'!$A:$D</definedName>
    <definedName name="Excel_BuiltIn_Print_Titles" localSheetId="1">('S18'!A:E,'S18'!$A$1:$IV$6)</definedName>
    <definedName name="Excel_BuiltIn_Print_Titles" localSheetId="2">'S19'!$A:$C</definedName>
    <definedName name="Excel_BuiltIn_Print_Titles" localSheetId="3">'S20'!$A:$I</definedName>
    <definedName name="Excel_BuiltIn_Print_Titles" localSheetId="4">'S21'!$A:$C</definedName>
    <definedName name="Excel_BuiltIn_Print_Titles" localSheetId="5">'S22'!$A:$I</definedName>
    <definedName name="Z_FE530F02_55E0_49BE_9F9F_EDB536772B6D__wvu_Cols" localSheetId="1">('S18'!J:U,'S18'!X:X,'S18'!AA:AD,'S18'!AG:AG,'S18'!AJ:AJ,'S18'!AM:AM,'S18'!AP:BB)</definedName>
    <definedName name="Z_FE530F02_55E0_49BE_9F9F_EDB536772B6D__wvu_Cols" localSheetId="2">('S19'!J:U,'S19'!X:X,'S19'!AA:AG,'S19'!AJ:AJ,'S19'!AM:AM,'S19'!AP:AV)</definedName>
    <definedName name="Z_FE530F02_55E0_49BE_9F9F_EDB536772B6D__wvu_Cols" localSheetId="3">('S20'!J:O,'S20'!R:R,'S20'!U:U,'S20'!X:X,'S20'!AA:AD,'S20'!AG:AG,'S20'!AJ:AJ,'S20'!AM:AM,'S20'!AP:AW)</definedName>
    <definedName name="Z_FE530F02_55E0_49BE_9F9F_EDB536772B6D__wvu_Cols" localSheetId="4">('S21'!J:U,'S21'!X:X,'S21'!AA:AD,'S21'!AG:AG,'S21'!AJ:AJ,'S21'!AM:AZ)</definedName>
    <definedName name="Z_FE530F02_55E0_49BE_9F9F_EDB536772B6D__wvu_Cols" localSheetId="5">('S22'!J:U,'S22'!X:X,'S22'!AA:AD,'S22'!AG:AG,'S22'!AJ:AJ,'S22'!AM:AM,'S22'!AP:AU)</definedName>
    <definedName name="Z_FE530F02_55E0_49BE_9F9F_EDB536772B6D__wvu_PrintTitles" localSheetId="0">'06'!$A:$D</definedName>
    <definedName name="Z_FE530F02_55E0_49BE_9F9F_EDB536772B6D__wvu_PrintTitles" localSheetId="1">('S18'!A:E,'S18'!$A$1:$IV$6)</definedName>
    <definedName name="Z_FE530F02_55E0_49BE_9F9F_EDB536772B6D__wvu_PrintTitles" localSheetId="2">'S19'!$A:$C</definedName>
    <definedName name="Z_FE530F02_55E0_49BE_9F9F_EDB536772B6D__wvu_PrintTitles" localSheetId="3">'S20'!$A:$I</definedName>
    <definedName name="Z_FE530F02_55E0_49BE_9F9F_EDB536772B6D__wvu_PrintTitles" localSheetId="4">'S21'!$A:$C</definedName>
    <definedName name="Z_FE530F02_55E0_49BE_9F9F_EDB536772B6D__wvu_PrintTitles" localSheetId="5">'S22'!$A:$I</definedName>
    <definedName name="Z_FE530F02_55E0_49BE_9F9F_EDB536772B6D__wvu_Rows" localSheetId="1">('S18'!$A$8:$IV$167,'S18'!$A$171:$IV$171,'S18'!$A$173:$IV$173,'S18'!$A$175:$IV$175,'S18'!$A$177:$IV$209,'S18'!$A$212:$IV$213,'S18'!$A$215:$IV$269,'S18'!$A$272:$IV$277,'S18'!$A$279:$IV$279,'S18'!$A$281:$IV$377,'S18'!$A$380:$IV$381,'S18'!$A$383:$IV$383,'S18'!$A$385:$IV$459)</definedName>
    <definedName name="Z_FE530F02_55E0_49BE_9F9F_EDB536772B6D__wvu_Rows" localSheetId="2">('S19'!$A$8:$IV$167,'S19'!$A$170:$IV$173,'S19'!$A$175:$IV$175,'S19'!$A$177:$IV$177,'S19'!$A$179:$IV$179,'S19'!$A$181:$IV$209,'S19'!$A$212:$IV$215,'S19'!$A$217:$IV$269,'S19'!$A$272:$IV$279,'S19'!$A$281:$IV$281,'S19'!$A$283:$IV$295,'S19'!$A$299:$IV$299,'S19'!$A$301:$IV$301,'S19'!$A$303:$IV$353,'S19'!$A$356:$IV$359,'S19'!$A$361:$IV$361,'S19'!$A$363:$IV$363,'S19'!$A$365:$IV$459)</definedName>
    <definedName name="Z_FE530F02_55E0_49BE_9F9F_EDB536772B6D__wvu_Rows" localSheetId="3">('S20'!$A$8:$IV$167,'S20'!$A$170:$IV$175,'S20'!$A$177:$IV$177,'S20'!$A$179:$IV$179,'S20'!$A$181:$IV$181,'S20'!$A$183:$IV$209,'S20'!$A$211:$IV$270,'S20'!$A$272:$IV$281,'S20'!$A$283:$IV$283,'S20'!$A$285:$IV$295,'S20'!$A$298:$IV$299,'S20'!$A$301:$IV$301,'S20'!$A$303:$IV$303,'S20'!$A$305:$IV$305,'S20'!$A$307:$IV$307,'S20'!$A$309:$IV$353,'S20'!$A$356:$IV$361,'S20'!$A$363:$IV$363,'S20'!$A$365:$IV$365,'S20'!$A$367:$IV$377,'S20'!$A$379:$IV$459)</definedName>
    <definedName name="Z_FE530F02_55E0_49BE_9F9F_EDB536772B6D__wvu_Rows" localSheetId="4">('S21'!$A$8:$IV$167,'S21'!$A$170:$IV$179,'S21'!$A$181:$IV$181,'S21'!$A$183:$IV$209,'S21'!$A$212:$IV$213,'S21'!$A$215:$IV$215,'S21'!$A$217:$IV$269,'S21'!$A$271:$IV$294,'S21'!$A$297:$IV$309,'S21'!$A$311:$IV$311,'S21'!$A$313:$IV$313,'S21'!$A$315:$IV$330,'S21'!$A$332:$IV$353,'S21'!$A$356:$IV$363,'S21'!$A$365:$IV$365,'S21'!$A$367:$IV$459)</definedName>
    <definedName name="Z_FE530F02_55E0_49BE_9F9F_EDB536772B6D__wvu_Rows" localSheetId="5">('S22'!#REF!,'S22'!#REF!,'S22'!#REF!,'S22'!#REF!,'S22'!#REF!,'S22'!#REF!,'S22'!#REF!,'S22'!#REF!,'S22'!#REF!,'S22'!#REF!,'S22'!#REF!,'S22'!#REF!,'S22'!#REF!,'S22'!#REF!,'S22'!#REF!,'S22'!#REF!,'S22'!#REF!,'S22'!#REF!,'S22'!#REF!,'S22'!#REF!,'S22'!#REF!,'S22'!#REF!,'S22'!#REF!)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0" roundtripDataSignature="AMtx7mj54oDQiE1bUdjMlC4jw0JKOqJKFQ=="/>
    </ext>
  </extLst>
</workbook>
</file>

<file path=xl/calcChain.xml><?xml version="1.0" encoding="utf-8"?>
<calcChain xmlns="http://schemas.openxmlformats.org/spreadsheetml/2006/main">
  <c r="BR39" i="1" l="1"/>
  <c r="O39" i="1"/>
  <c r="AP39" i="1"/>
  <c r="AP40" i="1"/>
  <c r="O40" i="1"/>
  <c r="O36" i="1"/>
  <c r="AW10" i="1"/>
  <c r="AS20" i="1"/>
  <c r="AK14" i="1"/>
  <c r="CN22" i="1"/>
  <c r="CN14" i="1"/>
  <c r="BO40" i="1"/>
  <c r="BO39" i="1"/>
  <c r="BO38" i="1"/>
  <c r="BO37" i="1"/>
  <c r="BO36" i="1"/>
  <c r="L40" i="1"/>
  <c r="L39" i="1"/>
  <c r="L38" i="1"/>
  <c r="L37" i="1"/>
  <c r="L36" i="1"/>
  <c r="AM40" i="1"/>
  <c r="AM39" i="1"/>
  <c r="AM38" i="1"/>
  <c r="AM37" i="1"/>
  <c r="AM36" i="1"/>
  <c r="CN10" i="1"/>
  <c r="CN20" i="1"/>
  <c r="L22" i="1"/>
  <c r="AE16" i="1"/>
  <c r="CN16" i="1" s="1"/>
  <c r="P20" i="1"/>
  <c r="T20" i="1"/>
  <c r="X20" i="1"/>
  <c r="AB20" i="1"/>
  <c r="AF20" i="1"/>
  <c r="AJ20" i="1"/>
  <c r="AL20" i="1"/>
  <c r="AP20" i="1"/>
  <c r="AT20" i="1"/>
  <c r="AX20" i="1"/>
  <c r="BB20" i="1"/>
  <c r="BF20" i="1"/>
  <c r="BJ20" i="1"/>
  <c r="BN20" i="1"/>
  <c r="BR20" i="1"/>
  <c r="BV20" i="1"/>
  <c r="BZ20" i="1"/>
  <c r="CD20" i="1"/>
  <c r="CH20" i="1"/>
  <c r="CL20" i="1"/>
  <c r="P22" i="1"/>
  <c r="T22" i="1"/>
  <c r="X22" i="1"/>
  <c r="AB22" i="1"/>
  <c r="AF22" i="1"/>
  <c r="AJ22" i="1"/>
  <c r="AL22" i="1"/>
  <c r="AP22" i="1"/>
  <c r="AT22" i="1"/>
  <c r="AX22" i="1"/>
  <c r="BB22" i="1"/>
  <c r="BF22" i="1"/>
  <c r="BJ22" i="1"/>
  <c r="BN22" i="1"/>
  <c r="BR22" i="1"/>
  <c r="BV22" i="1"/>
  <c r="BZ22" i="1"/>
  <c r="CD22" i="1"/>
  <c r="CH22" i="1"/>
  <c r="CL22" i="1"/>
  <c r="CL16" i="1"/>
  <c r="CH16" i="1"/>
  <c r="CD16" i="1"/>
  <c r="BZ16" i="1"/>
  <c r="BV16" i="1"/>
  <c r="BR16" i="1"/>
  <c r="BN16" i="1"/>
  <c r="BJ16" i="1"/>
  <c r="BF16" i="1"/>
  <c r="BB16" i="1"/>
  <c r="AX16" i="1"/>
  <c r="AT16" i="1"/>
  <c r="AP16" i="1"/>
  <c r="AL16" i="1"/>
  <c r="AP38" i="1" s="1"/>
  <c r="AJ16" i="1"/>
  <c r="AF16" i="1"/>
  <c r="AB16" i="1"/>
  <c r="X16" i="1"/>
  <c r="T16" i="1"/>
  <c r="P16" i="1"/>
  <c r="L16" i="1"/>
  <c r="CL14" i="1"/>
  <c r="CH14" i="1"/>
  <c r="CD14" i="1"/>
  <c r="BZ14" i="1"/>
  <c r="BV14" i="1"/>
  <c r="BR14" i="1"/>
  <c r="BN14" i="1"/>
  <c r="BJ14" i="1"/>
  <c r="BF14" i="1"/>
  <c r="BB14" i="1"/>
  <c r="AX14" i="1"/>
  <c r="AT14" i="1"/>
  <c r="AP14" i="1"/>
  <c r="AL14" i="1"/>
  <c r="AP37" i="1" s="1"/>
  <c r="AJ14" i="1"/>
  <c r="AF14" i="1"/>
  <c r="AB14" i="1"/>
  <c r="X14" i="1"/>
  <c r="T14" i="1"/>
  <c r="P14" i="1"/>
  <c r="L14" i="1"/>
  <c r="CL12" i="1"/>
  <c r="CH12" i="1"/>
  <c r="CD12" i="1"/>
  <c r="BZ12" i="1"/>
  <c r="BV12" i="1"/>
  <c r="BR12" i="1"/>
  <c r="BN12" i="1"/>
  <c r="BJ12" i="1"/>
  <c r="BF12" i="1"/>
  <c r="BB12" i="1"/>
  <c r="AX12" i="1"/>
  <c r="AT12" i="1"/>
  <c r="AP12" i="1"/>
  <c r="AL12" i="1"/>
  <c r="AJ12" i="1"/>
  <c r="AF12" i="1"/>
  <c r="AB12" i="1"/>
  <c r="X12" i="1"/>
  <c r="T12" i="1"/>
  <c r="P12" i="1"/>
  <c r="L12" i="1"/>
  <c r="CO11" i="1"/>
  <c r="CN11" i="1"/>
  <c r="CL10" i="1"/>
  <c r="CH10" i="1"/>
  <c r="CD10" i="1"/>
  <c r="BZ10" i="1"/>
  <c r="BV10" i="1"/>
  <c r="BR10" i="1"/>
  <c r="BN10" i="1"/>
  <c r="BR36" i="1" s="1"/>
  <c r="BJ10" i="1"/>
  <c r="BF10" i="1"/>
  <c r="BB10" i="1"/>
  <c r="AX10" i="1"/>
  <c r="AT10" i="1"/>
  <c r="AP10" i="1"/>
  <c r="AL10" i="1"/>
  <c r="AJ10" i="1"/>
  <c r="AF10" i="1"/>
  <c r="AB10" i="1"/>
  <c r="X10" i="1"/>
  <c r="T10" i="1"/>
  <c r="P10" i="1"/>
  <c r="L10" i="1"/>
  <c r="O7" i="1"/>
  <c r="S7" i="1" s="1"/>
  <c r="W7" i="1" s="1"/>
  <c r="AA7" i="1" s="1"/>
  <c r="AE7" i="1" s="1"/>
  <c r="AI7" i="1" s="1"/>
  <c r="AK7" i="1" s="1"/>
  <c r="AO7" i="1" s="1"/>
  <c r="AS7" i="1" s="1"/>
  <c r="AW7" i="1" s="1"/>
  <c r="BA7" i="1" s="1"/>
  <c r="BE7" i="1" s="1"/>
  <c r="BI7" i="1" s="1"/>
  <c r="BM7" i="1" s="1"/>
  <c r="BQ7" i="1" s="1"/>
  <c r="BU7" i="1" s="1"/>
  <c r="BY7" i="1" s="1"/>
  <c r="CC7" i="1" s="1"/>
  <c r="CG7" i="1" s="1"/>
  <c r="CK7" i="1" s="1"/>
  <c r="CO14" i="1" l="1"/>
  <c r="CO16" i="1"/>
  <c r="CO20" i="1"/>
  <c r="CO22" i="1"/>
  <c r="AP36" i="1"/>
  <c r="CO10" i="1"/>
  <c r="CP10" i="1"/>
  <c r="O37" i="1"/>
  <c r="S37" i="1" s="1"/>
  <c r="CP14" i="1"/>
  <c r="O38" i="1"/>
  <c r="S38" i="1" s="1"/>
  <c r="CP16" i="1"/>
  <c r="CP20" i="1"/>
  <c r="CP22" i="1"/>
  <c r="BP20" i="1"/>
  <c r="BV36" i="1"/>
  <c r="BT36" i="1"/>
  <c r="CI40" i="1" s="1"/>
  <c r="BV37" i="1"/>
  <c r="BT37" i="1"/>
  <c r="CI39" i="1" s="1"/>
  <c r="BV38" i="1"/>
  <c r="BT38" i="1"/>
  <c r="BV39" i="1"/>
  <c r="BT39" i="1"/>
  <c r="CI38" i="1" s="1"/>
  <c r="BV40" i="1"/>
  <c r="BT40" i="1"/>
  <c r="S36" i="1"/>
  <c r="Q36" i="1"/>
  <c r="AF40" i="1" s="1"/>
  <c r="Q37" i="1"/>
  <c r="AF39" i="1" s="1"/>
  <c r="Q38" i="1"/>
  <c r="S39" i="1"/>
  <c r="S40" i="1"/>
  <c r="AT36" i="1"/>
  <c r="AR36" i="1"/>
  <c r="BG40" i="1" s="1"/>
  <c r="AT37" i="1"/>
  <c r="AR37" i="1"/>
  <c r="BG39" i="1" s="1"/>
  <c r="AT38" i="1"/>
  <c r="AR38" i="1"/>
  <c r="AT39" i="1"/>
  <c r="AR39" i="1"/>
  <c r="BG38" i="1" s="1"/>
  <c r="AT40" i="1"/>
  <c r="AR40" i="1"/>
  <c r="AR20" i="1"/>
  <c r="BH20" i="1"/>
  <c r="BX20" i="1"/>
  <c r="CF20" i="1"/>
  <c r="AZ20" i="1"/>
  <c r="R22" i="1"/>
  <c r="Z22" i="1"/>
  <c r="AH22" i="1"/>
  <c r="AN22" i="1"/>
  <c r="AV22" i="1"/>
  <c r="BD22" i="1"/>
  <c r="BL22" i="1"/>
  <c r="BT22" i="1"/>
  <c r="CB22" i="1"/>
  <c r="CJ22" i="1"/>
  <c r="AR22" i="1"/>
  <c r="AZ22" i="1"/>
  <c r="BH22" i="1"/>
  <c r="BP22" i="1"/>
  <c r="BX22" i="1"/>
  <c r="CF22" i="1"/>
  <c r="N22" i="1"/>
  <c r="V22" i="1"/>
  <c r="AD22" i="1"/>
  <c r="R20" i="1"/>
  <c r="Z20" i="1"/>
  <c r="AH20" i="1"/>
  <c r="AN20" i="1"/>
  <c r="AV20" i="1"/>
  <c r="BD20" i="1"/>
  <c r="BL20" i="1"/>
  <c r="BT20" i="1"/>
  <c r="CB20" i="1"/>
  <c r="CJ20" i="1"/>
  <c r="N20" i="1"/>
  <c r="V20" i="1"/>
  <c r="AD20" i="1"/>
  <c r="CF16" i="1"/>
  <c r="AD16" i="1"/>
  <c r="N16" i="1"/>
  <c r="V16" i="1"/>
  <c r="CJ14" i="1"/>
  <c r="CF14" i="1"/>
  <c r="CB14" i="1"/>
  <c r="BX14" i="1"/>
  <c r="BT14" i="1"/>
  <c r="BP14" i="1"/>
  <c r="BL14" i="1"/>
  <c r="BH14" i="1"/>
  <c r="BD14" i="1"/>
  <c r="AZ14" i="1"/>
  <c r="AV14" i="1"/>
  <c r="AR14" i="1"/>
  <c r="AN14" i="1"/>
  <c r="AH14" i="1"/>
  <c r="Z14" i="1"/>
  <c r="R14" i="1"/>
  <c r="AD14" i="1"/>
  <c r="V14" i="1"/>
  <c r="N14" i="1"/>
  <c r="CJ10" i="1"/>
  <c r="CB10" i="1"/>
  <c r="BT10" i="1"/>
  <c r="BL10" i="1"/>
  <c r="BD10" i="1"/>
  <c r="AV10" i="1"/>
  <c r="AN10" i="1"/>
  <c r="AD10" i="1"/>
  <c r="V10" i="1"/>
  <c r="N10" i="1"/>
  <c r="AH10" i="1"/>
  <c r="Z10" i="1"/>
  <c r="R10" i="1"/>
  <c r="CF10" i="1"/>
  <c r="BX10" i="1"/>
  <c r="BP10" i="1"/>
  <c r="BH10" i="1"/>
  <c r="AZ10" i="1"/>
  <c r="AR10" i="1"/>
  <c r="CJ12" i="1"/>
  <c r="CB12" i="1"/>
  <c r="BT12" i="1"/>
  <c r="BL12" i="1"/>
  <c r="BD12" i="1"/>
  <c r="AV12" i="1"/>
  <c r="AR12" i="1"/>
  <c r="AD12" i="1"/>
  <c r="V12" i="1"/>
  <c r="N12" i="1"/>
  <c r="R12" i="1"/>
  <c r="CF12" i="1"/>
  <c r="BX12" i="1"/>
  <c r="BP12" i="1"/>
  <c r="BH12" i="1"/>
  <c r="AZ12" i="1"/>
  <c r="AN12" i="1"/>
  <c r="AH12" i="1"/>
  <c r="Z12" i="1"/>
  <c r="AR16" i="1"/>
  <c r="AZ16" i="1"/>
  <c r="BH16" i="1"/>
  <c r="BP16" i="1"/>
  <c r="BX16" i="1"/>
  <c r="CJ16" i="1"/>
  <c r="CB16" i="1"/>
  <c r="BT16" i="1"/>
  <c r="BL16" i="1"/>
  <c r="BD16" i="1"/>
  <c r="AV16" i="1"/>
  <c r="AN16" i="1"/>
  <c r="AH16" i="1"/>
  <c r="Z16" i="1"/>
  <c r="R16" i="1"/>
  <c r="CC40" i="1" l="1"/>
  <c r="CC38" i="1"/>
  <c r="Q40" i="1"/>
  <c r="Q39" i="1"/>
  <c r="AF38" i="1" s="1"/>
  <c r="Z38" i="1"/>
  <c r="BA38" i="1"/>
  <c r="Z40" i="1"/>
  <c r="BA40" i="1"/>
  <c r="AG14" i="1"/>
  <c r="AY14" i="1"/>
  <c r="BW14" i="1"/>
  <c r="AQ14" i="1"/>
  <c r="CE14" i="1"/>
  <c r="AC14" i="1"/>
  <c r="BK14" i="1"/>
  <c r="M14" i="1"/>
  <c r="U14" i="1"/>
  <c r="BO14" i="1"/>
  <c r="BG14" i="1"/>
  <c r="Q14" i="1"/>
  <c r="AU14" i="1"/>
  <c r="CA14" i="1"/>
  <c r="M22" i="1"/>
  <c r="U22" i="1"/>
  <c r="AC22" i="1"/>
  <c r="AQ22" i="1"/>
  <c r="AY22" i="1"/>
  <c r="BG22" i="1"/>
  <c r="BO22" i="1"/>
  <c r="BW22" i="1"/>
  <c r="CE22" i="1"/>
  <c r="AM22" i="1"/>
  <c r="AU22" i="1"/>
  <c r="BC22" i="1"/>
  <c r="BK22" i="1"/>
  <c r="BS22" i="1"/>
  <c r="CA22" i="1"/>
  <c r="CI22" i="1"/>
  <c r="Q22" i="1"/>
  <c r="Y22" i="1"/>
  <c r="AG22" i="1"/>
  <c r="M20" i="1"/>
  <c r="U20" i="1"/>
  <c r="AC20" i="1"/>
  <c r="AQ20" i="1"/>
  <c r="AY20" i="1"/>
  <c r="BG20" i="1"/>
  <c r="BO20" i="1"/>
  <c r="BW20" i="1"/>
  <c r="CE20" i="1"/>
  <c r="Q20" i="1"/>
  <c r="Y20" i="1"/>
  <c r="AG20" i="1"/>
  <c r="AM20" i="1"/>
  <c r="AU20" i="1"/>
  <c r="BC20" i="1"/>
  <c r="BK20" i="1"/>
  <c r="BS20" i="1"/>
  <c r="CA20" i="1"/>
  <c r="CI20" i="1"/>
  <c r="Y14" i="1"/>
  <c r="AM14" i="1"/>
  <c r="BC14" i="1"/>
  <c r="BS14" i="1"/>
  <c r="CI14" i="1"/>
  <c r="CE16" i="1"/>
  <c r="BW16" i="1"/>
  <c r="BO16" i="1"/>
  <c r="BG16" i="1"/>
  <c r="AY16" i="1"/>
  <c r="AQ16" i="1"/>
  <c r="AC16" i="1"/>
  <c r="U16" i="1"/>
  <c r="M16" i="1"/>
  <c r="CI16" i="1"/>
  <c r="CA16" i="1"/>
  <c r="BS16" i="1"/>
  <c r="BK16" i="1"/>
  <c r="BC16" i="1"/>
  <c r="AU16" i="1"/>
  <c r="AM16" i="1"/>
  <c r="AG16" i="1"/>
  <c r="Y16" i="1"/>
  <c r="Q16" i="1"/>
  <c r="CE12" i="1"/>
  <c r="BW12" i="1"/>
  <c r="BO12" i="1"/>
  <c r="BG12" i="1"/>
  <c r="AY12" i="1"/>
  <c r="AM12" i="1"/>
  <c r="AG12" i="1"/>
  <c r="Y12" i="1"/>
  <c r="Q12" i="1"/>
  <c r="CI12" i="1"/>
  <c r="CA12" i="1"/>
  <c r="BS12" i="1"/>
  <c r="BK12" i="1"/>
  <c r="BC12" i="1"/>
  <c r="AU12" i="1"/>
  <c r="AQ12" i="1"/>
  <c r="AC12" i="1"/>
  <c r="U12" i="1"/>
  <c r="M12" i="1"/>
  <c r="CE10" i="1"/>
  <c r="BW10" i="1"/>
  <c r="BO10" i="1"/>
  <c r="BG10" i="1"/>
  <c r="AY10" i="1"/>
  <c r="AQ10" i="1"/>
  <c r="AG10" i="1"/>
  <c r="Y10" i="1"/>
  <c r="Q10" i="1"/>
  <c r="AC10" i="1"/>
  <c r="M10" i="1"/>
  <c r="CI10" i="1"/>
  <c r="CA10" i="1"/>
  <c r="BS10" i="1"/>
  <c r="BK10" i="1"/>
  <c r="BC10" i="1"/>
  <c r="AU10" i="1"/>
  <c r="AM10" i="1"/>
  <c r="U10" i="1"/>
</calcChain>
</file>

<file path=xl/sharedStrings.xml><?xml version="1.0" encoding="utf-8"?>
<sst xmlns="http://schemas.openxmlformats.org/spreadsheetml/2006/main" count="201" uniqueCount="71">
  <si>
    <t>Gerencia de Operaciones</t>
  </si>
  <si>
    <t>PROGRAMA MENSUAL DE PRODUCCIÓN</t>
  </si>
  <si>
    <t xml:space="preserve">No. </t>
  </si>
  <si>
    <t>Cliente</t>
  </si>
  <si>
    <t>Codigo</t>
  </si>
  <si>
    <t>Ciclo</t>
  </si>
  <si>
    <t>Unids.</t>
  </si>
  <si>
    <t>Pedido</t>
  </si>
  <si>
    <t xml:space="preserve">Fecha </t>
  </si>
  <si>
    <t>P</t>
  </si>
  <si>
    <t>SEMANA 18</t>
  </si>
  <si>
    <t>SEMANA 19</t>
  </si>
  <si>
    <t>SEMANA 20</t>
  </si>
  <si>
    <t>TOTAL</t>
  </si>
  <si>
    <t xml:space="preserve">SALDO </t>
  </si>
  <si>
    <t>PPGO</t>
  </si>
  <si>
    <t xml:space="preserve">de </t>
  </si>
  <si>
    <t xml:space="preserve">por </t>
  </si>
  <si>
    <t>(Unid.)</t>
  </si>
  <si>
    <t>/</t>
  </si>
  <si>
    <t>DEL</t>
  </si>
  <si>
    <t>Orden</t>
  </si>
  <si>
    <t>prog.</t>
  </si>
  <si>
    <t>Hora</t>
  </si>
  <si>
    <t>entrega</t>
  </si>
  <si>
    <t>R</t>
  </si>
  <si>
    <t>T</t>
  </si>
  <si>
    <t>PR</t>
  </si>
  <si>
    <t>TPR</t>
  </si>
  <si>
    <t>SAL.</t>
  </si>
  <si>
    <t>Cic. R.</t>
  </si>
  <si>
    <t>PEDIDO</t>
  </si>
  <si>
    <t>S20</t>
  </si>
  <si>
    <t>ACME</t>
  </si>
  <si>
    <t>BID 20 1000 NE PE</t>
  </si>
  <si>
    <t>SHELL</t>
  </si>
  <si>
    <t>BID 10 350 RO PE</t>
  </si>
  <si>
    <t>AXION</t>
  </si>
  <si>
    <t>BID 5 200 BLA PE</t>
  </si>
  <si>
    <t>10000 el 15/11/23        10000 el 30/11/2023</t>
  </si>
  <si>
    <t xml:space="preserve">Obs.: </t>
  </si>
  <si>
    <t>Elaborado Por: ___________________________________</t>
  </si>
  <si>
    <t>BOT 1 60 AMA PE</t>
  </si>
  <si>
    <t>CONOCO</t>
  </si>
  <si>
    <t>BOT 1 60 BLA PE</t>
  </si>
  <si>
    <t>15000 semanal</t>
  </si>
  <si>
    <t>S2</t>
  </si>
  <si>
    <t>8 EMPLEADOS A PARTIR DE AQUÍ</t>
  </si>
  <si>
    <t>PEDIDOS DE MATERIA PRIMA SEMANA 18</t>
  </si>
  <si>
    <t>PEDIDOS DE MATERIA PRIMA SEMANA 19</t>
  </si>
  <si>
    <t>PEDIDOS DE MATERIA PRIMA SEMANA 20</t>
  </si>
  <si>
    <t>Articulo</t>
  </si>
  <si>
    <t>Kg de PE</t>
  </si>
  <si>
    <t>Kg de colorante</t>
  </si>
  <si>
    <t>TOTAL A PEDIR</t>
  </si>
  <si>
    <t>Kg</t>
  </si>
  <si>
    <t>Colorante blanco:</t>
  </si>
  <si>
    <t>Polietileno:</t>
  </si>
  <si>
    <t>Colorante Amarillo:</t>
  </si>
  <si>
    <t>Colorante Rojo:</t>
  </si>
  <si>
    <t>Colorante negro:</t>
  </si>
  <si>
    <t>Se producen 80 bidones mas de los solicitados</t>
  </si>
  <si>
    <t>Se producen 20 bidones mas de los solicitados</t>
  </si>
  <si>
    <t>NECESIDAD DE OPERADORES SEMANA 18</t>
  </si>
  <si>
    <t xml:space="preserve">Se necesitaran 9 trabajadores en para los 3 turnos del dia. Ambas sopladoras estaran funcionando </t>
  </si>
  <si>
    <t>Se necesitaran 9 trabajadores en para los 3 turnos del dia y ambas sopladoras estaran funcionando  hasta el 15/11</t>
  </si>
  <si>
    <t>Los sabados de cada semana se realizan los mantenimientos de lubricacion y trabajos preventivos. Los domingos no se produce. Se suspende un turno de la sopladora de 2L los dias 16/11 hasta 21/11</t>
  </si>
  <si>
    <t>A partir del 16/11 se necesitaran 8 trabajadores. La sopladora de 20L trabajará 3 turnos y la sopladora de 2L trabajará 2 turnos hasta el 21/11</t>
  </si>
  <si>
    <t>Kg de Polietileno desperdicio</t>
  </si>
  <si>
    <t>Larissa Cabrera Melgarejo</t>
  </si>
  <si>
    <t>C.I.: 5.986.951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</si>
</sst>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d\ dd"/>
    <numFmt numFmtId="165" formatCode="dd/mm/yy"/>
    <numFmt numFmtId="166" formatCode="0.0"/>
  </numFmts>
  <fonts count="42" x14ac:knownFonts="1">
    <font>
      <sz val="10"/>
      <color rgb="FF000000"/>
      <name val="Times New Roman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sz val="10"/>
      <name val="Times New Roman"/>
      <family val="1"/>
    </font>
    <font>
      <sz val="8"/>
      <color rgb="FFFF0000"/>
      <name val="Times New Roman"/>
      <family val="1"/>
    </font>
    <font>
      <sz val="10"/>
      <color rgb="FFFF0000"/>
      <name val="Times New Roman"/>
      <family val="1"/>
    </font>
    <font>
      <b/>
      <sz val="8"/>
      <color rgb="FFFF0000"/>
      <name val="Times New Roman"/>
      <family val="1"/>
    </font>
    <font>
      <sz val="10"/>
      <color rgb="FF3333CC"/>
      <name val="Times New Roman"/>
      <family val="1"/>
    </font>
    <font>
      <sz val="10"/>
      <color rgb="FF0000FF"/>
      <name val="Times New Roman"/>
      <family val="1"/>
    </font>
    <font>
      <i/>
      <sz val="10"/>
      <color rgb="FF3333CC"/>
      <name val="Times New Roman"/>
      <family val="1"/>
    </font>
    <font>
      <b/>
      <i/>
      <sz val="10"/>
      <color rgb="FF3333CC"/>
      <name val="Times New Roman"/>
      <family val="1"/>
    </font>
    <font>
      <b/>
      <i/>
      <sz val="10"/>
      <color theme="1"/>
      <name val="Times New Roman"/>
      <family val="1"/>
    </font>
    <font>
      <sz val="10"/>
      <color rgb="FF00FF00"/>
      <name val="Times New Roman"/>
      <family val="1"/>
    </font>
    <font>
      <i/>
      <sz val="10"/>
      <color rgb="FFFF0000"/>
      <name val="Times New Roman"/>
      <family val="1"/>
    </font>
    <font>
      <sz val="10"/>
      <color rgb="FF999933"/>
      <name val="Times New Roman"/>
      <family val="1"/>
    </font>
    <font>
      <b/>
      <sz val="10"/>
      <color rgb="FFFF0000"/>
      <name val="Times New Roman"/>
      <family val="1"/>
    </font>
    <font>
      <b/>
      <sz val="10"/>
      <color rgb="FF999933"/>
      <name val="Times New Roman"/>
      <family val="1"/>
    </font>
    <font>
      <b/>
      <sz val="12"/>
      <color theme="1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sz val="11"/>
      <color rgb="FF000000"/>
      <name val="Calibri"/>
      <family val="2"/>
    </font>
    <font>
      <b/>
      <sz val="8"/>
      <color rgb="FFFF0000"/>
      <name val="Times New Roman"/>
      <family val="1"/>
    </font>
    <font>
      <b/>
      <sz val="7"/>
      <color rgb="FFFF0000"/>
      <name val="Times New Roman"/>
      <family val="1"/>
    </font>
    <font>
      <sz val="7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  <scheme val="minor"/>
    </font>
    <font>
      <sz val="11"/>
      <color rgb="FF000000"/>
      <name val="Times New Roman"/>
      <family val="1"/>
      <scheme val="minor"/>
    </font>
    <font>
      <sz val="16"/>
      <color rgb="FF000000"/>
      <name val="Times New Roman"/>
      <family val="1"/>
      <scheme val="minor"/>
    </font>
    <font>
      <b/>
      <sz val="10"/>
      <color rgb="FF000000"/>
      <name val="Times New Roman"/>
      <family val="1"/>
      <scheme val="minor"/>
    </font>
    <font>
      <b/>
      <sz val="11"/>
      <color rgb="FF000000"/>
      <name val="Times New Roman"/>
      <family val="1"/>
      <scheme val="minor"/>
    </font>
    <font>
      <sz val="18"/>
      <color rgb="FF000000"/>
      <name val="Times New Roman"/>
      <family val="1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0"/>
      <color rgb="FF00206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69FFFF"/>
        <bgColor rgb="FF69FFFF"/>
      </patternFill>
    </fill>
    <fill>
      <patternFill patternType="solid">
        <fgColor rgb="FFFFFFC0"/>
        <bgColor rgb="FFFFFFC0"/>
      </patternFill>
    </fill>
    <fill>
      <patternFill patternType="solid">
        <fgColor rgb="FFFFFF00"/>
        <bgColor indexed="64"/>
      </patternFill>
    </fill>
  </fills>
  <borders count="78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double">
        <color rgb="FF000000"/>
      </right>
      <top style="medium">
        <color rgb="FF000000"/>
      </top>
      <bottom style="medium">
        <color rgb="FF000000"/>
      </bottom>
      <diagonal/>
    </border>
    <border>
      <left style="double">
        <color rgb="FF000000"/>
      </left>
      <right style="thin">
        <color rgb="FF000000"/>
      </right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 style="double">
        <color rgb="FF000000"/>
      </left>
      <right style="dotted">
        <color rgb="FF000000"/>
      </right>
      <top/>
      <bottom style="dotted">
        <color rgb="FF000000"/>
      </bottom>
      <diagonal/>
    </border>
    <border>
      <left/>
      <right style="double">
        <color rgb="FF000000"/>
      </right>
      <top/>
      <bottom style="dotted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dotted">
        <color rgb="FF000000"/>
      </right>
      <top/>
      <bottom style="thin">
        <color rgb="FF000000"/>
      </bottom>
      <diagonal/>
    </border>
    <border>
      <left style="medium">
        <color rgb="FF000000"/>
      </left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 style="dotted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double">
        <color rgb="FF000000"/>
      </right>
      <top style="thin">
        <color rgb="FF000000"/>
      </top>
      <bottom style="medium">
        <color rgb="FF000000"/>
      </bottom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218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4" fillId="0" borderId="4" xfId="0" applyFont="1" applyBorder="1"/>
    <xf numFmtId="0" fontId="6" fillId="0" borderId="0" xfId="0" applyFont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5" xfId="0" applyFont="1" applyBorder="1"/>
    <xf numFmtId="0" fontId="5" fillId="0" borderId="0" xfId="0" applyFont="1"/>
    <xf numFmtId="0" fontId="6" fillId="0" borderId="6" xfId="0" applyFont="1" applyBorder="1"/>
    <xf numFmtId="0" fontId="6" fillId="0" borderId="3" xfId="0" applyFont="1" applyBorder="1"/>
    <xf numFmtId="0" fontId="6" fillId="0" borderId="4" xfId="0" applyFont="1" applyBorder="1"/>
    <xf numFmtId="0" fontId="5" fillId="0" borderId="4" xfId="0" applyFont="1" applyBorder="1"/>
    <xf numFmtId="0" fontId="6" fillId="0" borderId="7" xfId="0" applyFont="1" applyBorder="1"/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1" xfId="0" applyFont="1" applyBorder="1"/>
    <xf numFmtId="0" fontId="8" fillId="0" borderId="12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7" fillId="0" borderId="4" xfId="0" applyFont="1" applyBorder="1"/>
    <xf numFmtId="0" fontId="7" fillId="0" borderId="1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64" fontId="7" fillId="0" borderId="17" xfId="0" applyNumberFormat="1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11" fillId="2" borderId="25" xfId="0" applyFont="1" applyFill="1" applyBorder="1" applyAlignment="1">
      <alignment horizontal="center"/>
    </xf>
    <xf numFmtId="49" fontId="1" fillId="0" borderId="26" xfId="0" applyNumberFormat="1" applyFont="1" applyBorder="1" applyAlignment="1">
      <alignment horizontal="center"/>
    </xf>
    <xf numFmtId="0" fontId="7" fillId="3" borderId="27" xfId="0" applyFont="1" applyFill="1" applyBorder="1" applyAlignment="1">
      <alignment horizontal="center"/>
    </xf>
    <xf numFmtId="0" fontId="8" fillId="3" borderId="27" xfId="0" applyFont="1" applyFill="1" applyBorder="1" applyAlignment="1">
      <alignment horizontal="center"/>
    </xf>
    <xf numFmtId="0" fontId="7" fillId="0" borderId="28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3" fillId="3" borderId="31" xfId="0" applyFont="1" applyFill="1" applyBorder="1" applyAlignment="1">
      <alignment horizontal="center"/>
    </xf>
    <xf numFmtId="0" fontId="2" fillId="3" borderId="31" xfId="0" applyFont="1" applyFill="1" applyBorder="1" applyAlignment="1">
      <alignment horizontal="center"/>
    </xf>
    <xf numFmtId="1" fontId="1" fillId="4" borderId="32" xfId="0" applyNumberFormat="1" applyFont="1" applyFill="1" applyBorder="1" applyAlignment="1">
      <alignment horizontal="center"/>
    </xf>
    <xf numFmtId="0" fontId="2" fillId="5" borderId="33" xfId="0" applyFont="1" applyFill="1" applyBorder="1" applyAlignment="1">
      <alignment horizontal="center"/>
    </xf>
    <xf numFmtId="0" fontId="14" fillId="0" borderId="34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166" fontId="14" fillId="3" borderId="31" xfId="0" applyNumberFormat="1" applyFont="1" applyFill="1" applyBorder="1" applyAlignment="1">
      <alignment horizontal="center"/>
    </xf>
    <xf numFmtId="0" fontId="14" fillId="3" borderId="31" xfId="0" applyFont="1" applyFill="1" applyBorder="1" applyAlignment="1">
      <alignment horizontal="center"/>
    </xf>
    <xf numFmtId="0" fontId="14" fillId="0" borderId="35" xfId="0" applyFont="1" applyBorder="1" applyAlignment="1">
      <alignment horizontal="center"/>
    </xf>
    <xf numFmtId="1" fontId="2" fillId="3" borderId="31" xfId="0" applyNumberFormat="1" applyFont="1" applyFill="1" applyBorder="1" applyAlignment="1">
      <alignment horizontal="center"/>
    </xf>
    <xf numFmtId="0" fontId="13" fillId="0" borderId="35" xfId="0" applyFont="1" applyBorder="1" applyAlignment="1">
      <alignment horizontal="center"/>
    </xf>
    <xf numFmtId="166" fontId="13" fillId="3" borderId="31" xfId="0" applyNumberFormat="1" applyFont="1" applyFill="1" applyBorder="1" applyAlignment="1">
      <alignment horizontal="center"/>
    </xf>
    <xf numFmtId="166" fontId="14" fillId="0" borderId="34" xfId="0" applyNumberFormat="1" applyFont="1" applyBorder="1" applyAlignment="1">
      <alignment horizontal="center"/>
    </xf>
    <xf numFmtId="1" fontId="1" fillId="4" borderId="36" xfId="0" applyNumberFormat="1" applyFont="1" applyFill="1" applyBorder="1" applyAlignment="1">
      <alignment horizontal="center"/>
    </xf>
    <xf numFmtId="0" fontId="15" fillId="0" borderId="37" xfId="0" applyFont="1" applyBorder="1" applyAlignment="1">
      <alignment horizontal="center"/>
    </xf>
    <xf numFmtId="0" fontId="16" fillId="0" borderId="38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3" borderId="31" xfId="0" applyFont="1" applyFill="1" applyBorder="1" applyAlignment="1">
      <alignment horizontal="center"/>
    </xf>
    <xf numFmtId="166" fontId="11" fillId="0" borderId="28" xfId="0" applyNumberFormat="1" applyFont="1" applyBorder="1" applyAlignment="1">
      <alignment horizontal="center"/>
    </xf>
    <xf numFmtId="1" fontId="11" fillId="0" borderId="28" xfId="0" applyNumberFormat="1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" fillId="0" borderId="0" xfId="0" applyFont="1"/>
    <xf numFmtId="0" fontId="1" fillId="0" borderId="18" xfId="0" applyFont="1" applyBorder="1" applyAlignment="1">
      <alignment horizontal="center"/>
    </xf>
    <xf numFmtId="0" fontId="7" fillId="3" borderId="39" xfId="0" applyFont="1" applyFill="1" applyBorder="1" applyAlignment="1">
      <alignment horizontal="center"/>
    </xf>
    <xf numFmtId="0" fontId="8" fillId="3" borderId="39" xfId="0" applyFont="1" applyFill="1" applyBorder="1" applyAlignment="1">
      <alignment horizontal="center"/>
    </xf>
    <xf numFmtId="0" fontId="12" fillId="3" borderId="40" xfId="0" applyFont="1" applyFill="1" applyBorder="1" applyAlignment="1">
      <alignment horizontal="center"/>
    </xf>
    <xf numFmtId="0" fontId="1" fillId="3" borderId="41" xfId="0" applyFont="1" applyFill="1" applyBorder="1" applyAlignment="1">
      <alignment horizontal="center"/>
    </xf>
    <xf numFmtId="1" fontId="1" fillId="4" borderId="40" xfId="0" applyNumberFormat="1" applyFont="1" applyFill="1" applyBorder="1" applyAlignment="1">
      <alignment horizontal="center"/>
    </xf>
    <xf numFmtId="0" fontId="2" fillId="5" borderId="42" xfId="0" applyFont="1" applyFill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1" fillId="4" borderId="40" xfId="0" applyFont="1" applyFill="1" applyBorder="1" applyAlignment="1">
      <alignment horizontal="center"/>
    </xf>
    <xf numFmtId="0" fontId="17" fillId="5" borderId="42" xfId="0" applyFont="1" applyFill="1" applyBorder="1" applyAlignment="1">
      <alignment horizontal="center"/>
    </xf>
    <xf numFmtId="0" fontId="1" fillId="0" borderId="44" xfId="0" applyFont="1" applyBorder="1" applyAlignment="1">
      <alignment horizontal="center"/>
    </xf>
    <xf numFmtId="166" fontId="1" fillId="3" borderId="41" xfId="0" applyNumberFormat="1" applyFont="1" applyFill="1" applyBorder="1" applyAlignment="1">
      <alignment horizontal="center"/>
    </xf>
    <xf numFmtId="1" fontId="1" fillId="4" borderId="45" xfId="0" applyNumberFormat="1" applyFont="1" applyFill="1" applyBorder="1" applyAlignment="1">
      <alignment horizontal="center"/>
    </xf>
    <xf numFmtId="0" fontId="15" fillId="0" borderId="46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166" fontId="11" fillId="0" borderId="17" xfId="0" applyNumberFormat="1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8" fillId="3" borderId="48" xfId="0" applyFont="1" applyFill="1" applyBorder="1" applyAlignment="1">
      <alignment horizontal="center"/>
    </xf>
    <xf numFmtId="0" fontId="12" fillId="3" borderId="29" xfId="0" applyFont="1" applyFill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3" borderId="5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" fillId="3" borderId="29" xfId="0" applyFont="1" applyFill="1" applyBorder="1" applyAlignment="1">
      <alignment horizontal="center"/>
    </xf>
    <xf numFmtId="1" fontId="20" fillId="0" borderId="0" xfId="0" applyNumberFormat="1" applyFont="1"/>
    <xf numFmtId="0" fontId="1" fillId="0" borderId="52" xfId="0" applyFont="1" applyBorder="1" applyAlignment="1">
      <alignment horizontal="center"/>
    </xf>
    <xf numFmtId="0" fontId="1" fillId="0" borderId="53" xfId="0" applyFont="1" applyBorder="1" applyAlignment="1">
      <alignment horizontal="center"/>
    </xf>
    <xf numFmtId="0" fontId="7" fillId="3" borderId="29" xfId="0" applyFont="1" applyFill="1" applyBorder="1" applyAlignment="1">
      <alignment horizontal="center"/>
    </xf>
    <xf numFmtId="0" fontId="8" fillId="3" borderId="29" xfId="0" applyFont="1" applyFill="1" applyBorder="1" applyAlignment="1">
      <alignment horizontal="center"/>
    </xf>
    <xf numFmtId="1" fontId="1" fillId="4" borderId="29" xfId="0" applyNumberFormat="1" applyFont="1" applyFill="1" applyBorder="1" applyAlignment="1">
      <alignment horizontal="center"/>
    </xf>
    <xf numFmtId="0" fontId="2" fillId="5" borderId="29" xfId="0" applyFont="1" applyFill="1" applyBorder="1" applyAlignment="1">
      <alignment horizontal="center"/>
    </xf>
    <xf numFmtId="0" fontId="1" fillId="4" borderId="29" xfId="0" applyFont="1" applyFill="1" applyBorder="1" applyAlignment="1">
      <alignment horizontal="center"/>
    </xf>
    <xf numFmtId="0" fontId="17" fillId="5" borderId="29" xfId="0" applyFont="1" applyFill="1" applyBorder="1" applyAlignment="1">
      <alignment horizontal="center"/>
    </xf>
    <xf numFmtId="166" fontId="1" fillId="3" borderId="29" xfId="0" applyNumberFormat="1" applyFont="1" applyFill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1" fillId="0" borderId="54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3" borderId="56" xfId="0" applyFont="1" applyFill="1" applyBorder="1" applyAlignment="1">
      <alignment horizontal="center"/>
    </xf>
    <xf numFmtId="0" fontId="7" fillId="3" borderId="56" xfId="0" applyFont="1" applyFill="1" applyBorder="1" applyAlignment="1">
      <alignment horizontal="center"/>
    </xf>
    <xf numFmtId="0" fontId="8" fillId="3" borderId="56" xfId="0" applyFont="1" applyFill="1" applyBorder="1" applyAlignment="1">
      <alignment horizontal="center"/>
    </xf>
    <xf numFmtId="0" fontId="7" fillId="0" borderId="53" xfId="0" applyFont="1" applyBorder="1" applyAlignment="1">
      <alignment horizontal="center"/>
    </xf>
    <xf numFmtId="0" fontId="12" fillId="3" borderId="56" xfId="0" applyFont="1" applyFill="1" applyBorder="1" applyAlignment="1">
      <alignment horizontal="center"/>
    </xf>
    <xf numFmtId="1" fontId="1" fillId="4" borderId="56" xfId="0" applyNumberFormat="1" applyFont="1" applyFill="1" applyBorder="1" applyAlignment="1">
      <alignment horizontal="center"/>
    </xf>
    <xf numFmtId="0" fontId="2" fillId="5" borderId="56" xfId="0" applyFont="1" applyFill="1" applyBorder="1" applyAlignment="1">
      <alignment horizontal="center"/>
    </xf>
    <xf numFmtId="0" fontId="1" fillId="4" borderId="56" xfId="0" applyFont="1" applyFill="1" applyBorder="1" applyAlignment="1">
      <alignment horizontal="center"/>
    </xf>
    <xf numFmtId="166" fontId="1" fillId="3" borderId="56" xfId="0" applyNumberFormat="1" applyFont="1" applyFill="1" applyBorder="1" applyAlignment="1">
      <alignment horizontal="center"/>
    </xf>
    <xf numFmtId="0" fontId="11" fillId="0" borderId="53" xfId="0" applyFont="1" applyBorder="1" applyAlignment="1">
      <alignment horizontal="center"/>
    </xf>
    <xf numFmtId="0" fontId="11" fillId="0" borderId="57" xfId="0" applyFont="1" applyBorder="1" applyAlignment="1">
      <alignment horizontal="center"/>
    </xf>
    <xf numFmtId="0" fontId="5" fillId="0" borderId="5" xfId="0" applyFont="1" applyBorder="1"/>
    <xf numFmtId="0" fontId="1" fillId="0" borderId="6" xfId="0" applyFont="1" applyBorder="1"/>
    <xf numFmtId="1" fontId="21" fillId="0" borderId="0" xfId="0" applyNumberFormat="1" applyFont="1" applyAlignment="1">
      <alignment horizontal="center"/>
    </xf>
    <xf numFmtId="0" fontId="1" fillId="0" borderId="55" xfId="0" applyFont="1" applyBorder="1"/>
    <xf numFmtId="0" fontId="2" fillId="0" borderId="55" xfId="0" applyFont="1" applyBorder="1"/>
    <xf numFmtId="0" fontId="1" fillId="0" borderId="59" xfId="0" applyFont="1" applyBorder="1"/>
    <xf numFmtId="1" fontId="22" fillId="0" borderId="0" xfId="0" applyNumberFormat="1" applyFont="1" applyAlignment="1">
      <alignment horizontal="center"/>
    </xf>
    <xf numFmtId="0" fontId="2" fillId="0" borderId="0" xfId="0" applyFont="1"/>
    <xf numFmtId="2" fontId="1" fillId="0" borderId="0" xfId="0" applyNumberFormat="1" applyFont="1"/>
    <xf numFmtId="166" fontId="11" fillId="0" borderId="0" xfId="0" applyNumberFormat="1" applyFont="1"/>
    <xf numFmtId="0" fontId="23" fillId="2" borderId="21" xfId="0" applyFont="1" applyFill="1" applyBorder="1" applyAlignment="1">
      <alignment horizontal="center"/>
    </xf>
    <xf numFmtId="0" fontId="9" fillId="0" borderId="48" xfId="0" applyFont="1" applyBorder="1"/>
    <xf numFmtId="0" fontId="25" fillId="3" borderId="27" xfId="0" applyFont="1" applyFill="1" applyBorder="1" applyAlignment="1">
      <alignment horizontal="center"/>
    </xf>
    <xf numFmtId="0" fontId="26" fillId="0" borderId="60" xfId="0" applyFont="1" applyBorder="1" applyAlignment="1">
      <alignment horizontal="center"/>
    </xf>
    <xf numFmtId="14" fontId="12" fillId="3" borderId="29" xfId="0" applyNumberFormat="1" applyFont="1" applyFill="1" applyBorder="1" applyAlignment="1">
      <alignment horizontal="center"/>
    </xf>
    <xf numFmtId="0" fontId="24" fillId="3" borderId="27" xfId="0" applyFont="1" applyFill="1" applyBorder="1" applyAlignment="1">
      <alignment horizontal="center"/>
    </xf>
    <xf numFmtId="0" fontId="27" fillId="3" borderId="29" xfId="0" applyFont="1" applyFill="1" applyBorder="1" applyAlignment="1">
      <alignment horizontal="center"/>
    </xf>
    <xf numFmtId="0" fontId="30" fillId="0" borderId="49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0" fillId="0" borderId="65" xfId="0" applyBorder="1"/>
    <xf numFmtId="0" fontId="0" fillId="0" borderId="66" xfId="0" applyBorder="1"/>
    <xf numFmtId="0" fontId="0" fillId="0" borderId="67" xfId="0" applyBorder="1"/>
    <xf numFmtId="0" fontId="0" fillId="0" borderId="68" xfId="0" applyBorder="1"/>
    <xf numFmtId="0" fontId="0" fillId="0" borderId="47" xfId="0" applyBorder="1"/>
    <xf numFmtId="0" fontId="0" fillId="0" borderId="69" xfId="0" applyBorder="1"/>
    <xf numFmtId="0" fontId="0" fillId="0" borderId="70" xfId="0" applyBorder="1"/>
    <xf numFmtId="0" fontId="0" fillId="0" borderId="71" xfId="0" applyBorder="1"/>
    <xf numFmtId="0" fontId="0" fillId="0" borderId="72" xfId="0" applyBorder="1"/>
    <xf numFmtId="0" fontId="2" fillId="0" borderId="65" xfId="0" applyFont="1" applyBorder="1"/>
    <xf numFmtId="0" fontId="2" fillId="0" borderId="66" xfId="0" applyFont="1" applyBorder="1"/>
    <xf numFmtId="0" fontId="33" fillId="0" borderId="47" xfId="0" applyFont="1" applyBorder="1"/>
    <xf numFmtId="0" fontId="36" fillId="0" borderId="47" xfId="0" applyFont="1" applyBorder="1"/>
    <xf numFmtId="0" fontId="37" fillId="0" borderId="47" xfId="0" applyFont="1" applyBorder="1" applyAlignment="1">
      <alignment horizontal="right"/>
    </xf>
    <xf numFmtId="0" fontId="37" fillId="0" borderId="47" xfId="0" applyFont="1" applyBorder="1"/>
    <xf numFmtId="0" fontId="37" fillId="0" borderId="69" xfId="0" applyFont="1" applyBorder="1"/>
    <xf numFmtId="0" fontId="39" fillId="0" borderId="58" xfId="0" applyFont="1" applyBorder="1" applyAlignment="1">
      <alignment vertical="center"/>
    </xf>
    <xf numFmtId="0" fontId="40" fillId="0" borderId="55" xfId="0" applyFont="1" applyBorder="1" applyAlignment="1">
      <alignment vertical="center"/>
    </xf>
    <xf numFmtId="1" fontId="11" fillId="0" borderId="6" xfId="0" applyNumberFormat="1" applyFont="1" applyBorder="1" applyAlignment="1">
      <alignment horizontal="center"/>
    </xf>
    <xf numFmtId="0" fontId="32" fillId="0" borderId="0" xfId="0" applyFont="1"/>
    <xf numFmtId="0" fontId="32" fillId="0" borderId="6" xfId="0" applyFont="1" applyBorder="1"/>
    <xf numFmtId="0" fontId="33" fillId="0" borderId="71" xfId="0" applyFont="1" applyBorder="1"/>
    <xf numFmtId="0" fontId="41" fillId="3" borderId="31" xfId="0" applyFont="1" applyFill="1" applyBorder="1" applyAlignment="1">
      <alignment horizontal="center"/>
    </xf>
    <xf numFmtId="0" fontId="0" fillId="0" borderId="64" xfId="0" applyBorder="1" applyAlignment="1">
      <alignment horizontal="center"/>
    </xf>
    <xf numFmtId="0" fontId="37" fillId="0" borderId="47" xfId="0" applyFont="1" applyBorder="1" applyAlignment="1">
      <alignment horizontal="right"/>
    </xf>
    <xf numFmtId="0" fontId="33" fillId="0" borderId="64" xfId="0" applyFont="1" applyBorder="1" applyAlignment="1">
      <alignment horizontal="center"/>
    </xf>
    <xf numFmtId="0" fontId="36" fillId="0" borderId="64" xfId="0" applyFont="1" applyBorder="1" applyAlignment="1">
      <alignment horizontal="center"/>
    </xf>
    <xf numFmtId="0" fontId="36" fillId="0" borderId="73" xfId="0" applyFont="1" applyBorder="1" applyAlignment="1">
      <alignment horizontal="center"/>
    </xf>
    <xf numFmtId="0" fontId="36" fillId="0" borderId="75" xfId="0" applyFont="1" applyBorder="1" applyAlignment="1">
      <alignment horizontal="center"/>
    </xf>
    <xf numFmtId="0" fontId="36" fillId="0" borderId="74" xfId="0" applyFont="1" applyBorder="1" applyAlignment="1">
      <alignment horizontal="center"/>
    </xf>
    <xf numFmtId="0" fontId="34" fillId="0" borderId="73" xfId="0" applyFont="1" applyBorder="1" applyAlignment="1">
      <alignment horizontal="center"/>
    </xf>
    <xf numFmtId="0" fontId="34" fillId="0" borderId="75" xfId="0" applyFont="1" applyBorder="1" applyAlignment="1">
      <alignment horizontal="center"/>
    </xf>
    <xf numFmtId="0" fontId="34" fillId="0" borderId="74" xfId="0" applyFont="1" applyBorder="1" applyAlignment="1">
      <alignment horizontal="center"/>
    </xf>
    <xf numFmtId="0" fontId="37" fillId="0" borderId="47" xfId="0" applyFont="1" applyBorder="1" applyAlignment="1">
      <alignment horizontal="center"/>
    </xf>
    <xf numFmtId="0" fontId="38" fillId="6" borderId="47" xfId="0" applyFont="1" applyFill="1" applyBorder="1" applyAlignment="1">
      <alignment horizontal="center" vertical="center"/>
    </xf>
    <xf numFmtId="0" fontId="35" fillId="6" borderId="47" xfId="0" applyFont="1" applyFill="1" applyBorder="1" applyAlignment="1">
      <alignment horizontal="center" vertical="center"/>
    </xf>
    <xf numFmtId="0" fontId="1" fillId="3" borderId="63" xfId="0" applyFont="1" applyFill="1" applyBorder="1" applyAlignment="1">
      <alignment horizontal="center" vertical="center"/>
    </xf>
    <xf numFmtId="0" fontId="1" fillId="3" borderId="62" xfId="0" applyFont="1" applyFill="1" applyBorder="1" applyAlignment="1">
      <alignment horizontal="center" vertical="center"/>
    </xf>
    <xf numFmtId="0" fontId="1" fillId="3" borderId="61" xfId="0" applyFont="1" applyFill="1" applyBorder="1" applyAlignment="1">
      <alignment horizontal="center" vertical="center"/>
    </xf>
    <xf numFmtId="0" fontId="31" fillId="0" borderId="23" xfId="0" applyFont="1" applyBorder="1" applyAlignment="1">
      <alignment horizontal="center" wrapText="1"/>
    </xf>
    <xf numFmtId="0" fontId="31" fillId="0" borderId="47" xfId="0" applyFont="1" applyBorder="1" applyAlignment="1">
      <alignment horizontal="center" wrapText="1"/>
    </xf>
    <xf numFmtId="0" fontId="39" fillId="0" borderId="55" xfId="0" applyFont="1" applyBorder="1" applyAlignment="1">
      <alignment horizontal="center" vertical="center"/>
    </xf>
    <xf numFmtId="0" fontId="1" fillId="3" borderId="50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0" fillId="0" borderId="0" xfId="0"/>
    <xf numFmtId="0" fontId="8" fillId="0" borderId="0" xfId="0" applyFont="1" applyAlignment="1">
      <alignment horizontal="center"/>
    </xf>
    <xf numFmtId="0" fontId="9" fillId="0" borderId="9" xfId="0" applyFont="1" applyBorder="1"/>
    <xf numFmtId="0" fontId="28" fillId="3" borderId="47" xfId="0" applyFont="1" applyFill="1" applyBorder="1" applyAlignment="1">
      <alignment horizontal="center" wrapText="1"/>
    </xf>
    <xf numFmtId="0" fontId="29" fillId="0" borderId="49" xfId="0" applyFont="1" applyBorder="1"/>
    <xf numFmtId="165" fontId="12" fillId="3" borderId="61" xfId="0" applyNumberFormat="1" applyFont="1" applyFill="1" applyBorder="1" applyAlignment="1">
      <alignment horizontal="center" vertical="center"/>
    </xf>
    <xf numFmtId="165" fontId="12" fillId="3" borderId="50" xfId="0" applyNumberFormat="1" applyFont="1" applyFill="1" applyBorder="1" applyAlignment="1">
      <alignment horizontal="center" vertical="center"/>
    </xf>
    <xf numFmtId="165" fontId="12" fillId="3" borderId="62" xfId="0" applyNumberFormat="1" applyFont="1" applyFill="1" applyBorder="1" applyAlignment="1">
      <alignment horizontal="center" vertical="center"/>
    </xf>
    <xf numFmtId="165" fontId="12" fillId="3" borderId="63" xfId="0" applyNumberFormat="1" applyFont="1" applyFill="1" applyBorder="1" applyAlignment="1">
      <alignment horizontal="center" vertical="center"/>
    </xf>
    <xf numFmtId="0" fontId="30" fillId="6" borderId="47" xfId="0" applyFont="1" applyFill="1" applyBorder="1" applyAlignment="1">
      <alignment horizontal="center" wrapText="1"/>
    </xf>
    <xf numFmtId="0" fontId="30" fillId="6" borderId="49" xfId="0" applyFont="1" applyFill="1" applyBorder="1" applyAlignment="1">
      <alignment horizontal="center" wrapText="1"/>
    </xf>
    <xf numFmtId="164" fontId="7" fillId="0" borderId="4" xfId="0" applyNumberFormat="1" applyFont="1" applyBorder="1" applyAlignment="1">
      <alignment horizontal="center"/>
    </xf>
    <xf numFmtId="0" fontId="9" fillId="0" borderId="4" xfId="0" applyFont="1" applyBorder="1"/>
    <xf numFmtId="0" fontId="9" fillId="0" borderId="17" xfId="0" applyFont="1" applyBorder="1"/>
    <xf numFmtId="0" fontId="7" fillId="0" borderId="12" xfId="0" applyFont="1" applyBorder="1" applyAlignment="1">
      <alignment horizontal="center"/>
    </xf>
    <xf numFmtId="0" fontId="9" fillId="0" borderId="14" xfId="0" applyFont="1" applyBorder="1"/>
    <xf numFmtId="0" fontId="9" fillId="0" borderId="16" xfId="0" applyFont="1" applyBorder="1"/>
    <xf numFmtId="164" fontId="10" fillId="0" borderId="4" xfId="0" applyNumberFormat="1" applyFont="1" applyBorder="1" applyAlignment="1">
      <alignment horizontal="center"/>
    </xf>
    <xf numFmtId="0" fontId="7" fillId="0" borderId="76" xfId="0" applyFont="1" applyBorder="1" applyAlignment="1">
      <alignment horizontal="center"/>
    </xf>
    <xf numFmtId="0" fontId="7" fillId="0" borderId="77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9" fillId="0" borderId="11" xfId="0" applyFont="1" applyBorder="1"/>
    <xf numFmtId="0" fontId="9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46"/>
  <sheetViews>
    <sheetView tabSelected="1" zoomScaleNormal="100" workbookViewId="0">
      <pane xSplit="10" ySplit="9" topLeftCell="BL10" activePane="bottomRight" state="frozen"/>
      <selection pane="topRight" activeCell="K1" sqref="K1"/>
      <selection pane="bottomLeft" activeCell="A10" sqref="A10"/>
      <selection pane="bottomRight" activeCell="H37" sqref="H37"/>
    </sheetView>
  </sheetViews>
  <sheetFormatPr baseColWidth="10" defaultColWidth="14.44140625" defaultRowHeight="15" customHeight="1" x14ac:dyDescent="0.25"/>
  <cols>
    <col min="1" max="1" width="14.6640625" customWidth="1"/>
    <col min="2" max="2" width="7.6640625" customWidth="1"/>
    <col min="3" max="3" width="20.109375" customWidth="1"/>
    <col min="4" max="4" width="28.44140625" customWidth="1"/>
    <col min="5" max="5" width="6.109375" customWidth="1"/>
    <col min="6" max="6" width="7.109375" customWidth="1"/>
    <col min="7" max="7" width="5.6640625" customWidth="1"/>
    <col min="8" max="8" width="10.44140625" customWidth="1"/>
    <col min="9" max="9" width="16.6640625" customWidth="1"/>
    <col min="10" max="10" width="3.6640625" customWidth="1"/>
    <col min="11" max="11" width="6.6640625" customWidth="1"/>
    <col min="12" max="12" width="9.77734375" customWidth="1"/>
    <col min="13" max="13" width="13.6640625" customWidth="1"/>
    <col min="14" max="14" width="12.6640625" customWidth="1"/>
    <col min="15" max="15" width="6.77734375" customWidth="1"/>
    <col min="16" max="16" width="10.33203125" customWidth="1"/>
    <col min="17" max="17" width="11.6640625" customWidth="1"/>
    <col min="18" max="18" width="12.6640625" customWidth="1"/>
    <col min="19" max="19" width="5.109375" customWidth="1"/>
    <col min="20" max="20" width="10.6640625" customWidth="1"/>
    <col min="21" max="21" width="9.109375" customWidth="1"/>
    <col min="22" max="22" width="13.109375" customWidth="1"/>
    <col min="23" max="23" width="6.6640625" customWidth="1"/>
    <col min="24" max="24" width="10" customWidth="1"/>
    <col min="25" max="25" width="9.33203125" customWidth="1"/>
    <col min="26" max="26" width="11.33203125" customWidth="1"/>
    <col min="27" max="27" width="6.77734375" customWidth="1"/>
    <col min="28" max="28" width="11.109375" customWidth="1"/>
    <col min="29" max="29" width="10.6640625" customWidth="1"/>
    <col min="30" max="30" width="13.77734375" customWidth="1"/>
    <col min="31" max="31" width="6.109375" customWidth="1"/>
    <col min="32" max="32" width="9.77734375" customWidth="1"/>
    <col min="33" max="33" width="9.109375" customWidth="1"/>
    <col min="34" max="34" width="11.33203125" customWidth="1"/>
    <col min="35" max="35" width="6.6640625" customWidth="1"/>
    <col min="36" max="36" width="9.77734375" customWidth="1"/>
    <col min="37" max="37" width="6.109375" customWidth="1"/>
    <col min="38" max="38" width="9.77734375" customWidth="1"/>
    <col min="39" max="39" width="10.6640625" customWidth="1"/>
    <col min="40" max="40" width="13.33203125" customWidth="1"/>
    <col min="41" max="41" width="5.77734375" customWidth="1"/>
    <col min="42" max="42" width="9.33203125" customWidth="1"/>
    <col min="43" max="43" width="9.109375" customWidth="1"/>
    <col min="44" max="44" width="13.33203125" customWidth="1"/>
    <col min="45" max="45" width="6.109375" customWidth="1"/>
    <col min="46" max="46" width="8.77734375" customWidth="1"/>
    <col min="47" max="47" width="9.109375" customWidth="1"/>
    <col min="48" max="48" width="12.6640625" customWidth="1"/>
    <col min="49" max="49" width="6.33203125" customWidth="1"/>
    <col min="50" max="50" width="9.6640625" customWidth="1"/>
    <col min="51" max="51" width="10.33203125" customWidth="1"/>
    <col min="52" max="52" width="11.33203125" customWidth="1"/>
    <col min="53" max="53" width="6.6640625" customWidth="1"/>
    <col min="54" max="54" width="10" customWidth="1"/>
    <col min="55" max="55" width="10.6640625" customWidth="1"/>
    <col min="56" max="56" width="13.33203125" customWidth="1"/>
    <col min="57" max="57" width="6.6640625" customWidth="1"/>
    <col min="58" max="58" width="8.77734375" customWidth="1"/>
    <col min="59" max="59" width="11" customWidth="1"/>
    <col min="60" max="60" width="13.33203125" customWidth="1"/>
    <col min="61" max="61" width="6.6640625" customWidth="1"/>
    <col min="62" max="62" width="9.77734375" customWidth="1"/>
    <col min="63" max="63" width="9.109375" customWidth="1"/>
    <col min="64" max="64" width="13.33203125" customWidth="1"/>
    <col min="65" max="65" width="6.109375" customWidth="1"/>
    <col min="66" max="66" width="8.77734375" customWidth="1"/>
    <col min="67" max="67" width="9.109375" customWidth="1"/>
    <col min="68" max="68" width="13.33203125" customWidth="1"/>
    <col min="69" max="69" width="8.33203125" customWidth="1"/>
    <col min="70" max="70" width="8.77734375" customWidth="1"/>
    <col min="71" max="71" width="9.109375" customWidth="1"/>
    <col min="72" max="72" width="13.33203125" customWidth="1"/>
    <col min="73" max="73" width="7" customWidth="1"/>
    <col min="74" max="74" width="9.33203125" customWidth="1"/>
    <col min="75" max="75" width="12.6640625" customWidth="1"/>
    <col min="76" max="76" width="13.33203125" customWidth="1"/>
    <col min="77" max="77" width="6.6640625" customWidth="1"/>
    <col min="78" max="78" width="9.109375" customWidth="1"/>
    <col min="79" max="79" width="10.109375" customWidth="1"/>
    <col min="80" max="80" width="13.33203125" customWidth="1"/>
    <col min="81" max="81" width="6.109375" customWidth="1"/>
    <col min="82" max="82" width="10.6640625" customWidth="1"/>
    <col min="83" max="83" width="13.6640625" customWidth="1"/>
    <col min="84" max="84" width="13.109375" customWidth="1"/>
    <col min="85" max="85" width="6.6640625" customWidth="1"/>
    <col min="86" max="86" width="10.6640625" customWidth="1"/>
    <col min="87" max="87" width="13.6640625" customWidth="1"/>
    <col min="88" max="88" width="12.33203125" customWidth="1"/>
    <col min="89" max="89" width="6.6640625" customWidth="1"/>
    <col min="90" max="90" width="9.33203125" customWidth="1"/>
    <col min="91" max="91" width="6.6640625" customWidth="1"/>
    <col min="92" max="92" width="14" customWidth="1"/>
    <col min="93" max="93" width="9.109375" customWidth="1"/>
    <col min="94" max="94" width="13.6640625" customWidth="1"/>
    <col min="95" max="104" width="11.77734375" customWidth="1"/>
    <col min="105" max="112" width="11.44140625" customWidth="1"/>
    <col min="113" max="115" width="11" customWidth="1"/>
  </cols>
  <sheetData>
    <row r="1" spans="1:115" ht="13.5" customHeight="1" thickTop="1" x14ac:dyDescent="0.25">
      <c r="A1" s="1"/>
      <c r="B1" s="2"/>
      <c r="C1" s="2"/>
      <c r="D1" s="3"/>
      <c r="E1" s="3"/>
      <c r="F1" s="3"/>
      <c r="G1" s="2"/>
      <c r="H1" s="2"/>
      <c r="I1" s="2"/>
      <c r="J1" s="2"/>
      <c r="K1" s="2"/>
      <c r="L1" s="2"/>
      <c r="M1" s="2"/>
      <c r="N1" s="3"/>
      <c r="O1" s="2"/>
      <c r="P1" s="2"/>
      <c r="Q1" s="2"/>
      <c r="R1" s="3"/>
      <c r="S1" s="2"/>
      <c r="T1" s="2"/>
      <c r="U1" s="2"/>
      <c r="V1" s="3"/>
      <c r="W1" s="2"/>
      <c r="X1" s="2"/>
      <c r="Y1" s="2"/>
      <c r="Z1" s="3"/>
      <c r="AA1" s="2"/>
      <c r="AB1" s="2"/>
      <c r="AC1" s="2"/>
      <c r="AD1" s="3"/>
      <c r="AE1" s="2"/>
      <c r="AF1" s="2"/>
      <c r="AG1" s="2"/>
      <c r="AH1" s="3"/>
      <c r="AI1" s="2"/>
      <c r="AJ1" s="2"/>
      <c r="AK1" s="2"/>
      <c r="AL1" s="2"/>
      <c r="AM1" s="2"/>
      <c r="AN1" s="3"/>
      <c r="AO1" s="2"/>
      <c r="AP1" s="2"/>
      <c r="AQ1" s="2"/>
      <c r="AR1" s="3"/>
      <c r="AS1" s="2"/>
      <c r="AT1" s="2"/>
      <c r="AU1" s="2"/>
      <c r="AV1" s="3"/>
      <c r="AW1" s="2"/>
      <c r="AX1" s="2"/>
      <c r="AY1" s="2"/>
      <c r="AZ1" s="3"/>
      <c r="BA1" s="2"/>
      <c r="BB1" s="2"/>
      <c r="BC1" s="2"/>
      <c r="BD1" s="3"/>
      <c r="BE1" s="2"/>
      <c r="BF1" s="2"/>
      <c r="BG1" s="2"/>
      <c r="BH1" s="3"/>
      <c r="BI1" s="2"/>
      <c r="BJ1" s="2"/>
      <c r="BK1" s="2"/>
      <c r="BL1" s="3"/>
      <c r="BM1" s="2"/>
      <c r="BN1" s="2"/>
      <c r="BO1" s="2"/>
      <c r="BP1" s="3"/>
      <c r="BQ1" s="2"/>
      <c r="BR1" s="2"/>
      <c r="BS1" s="2"/>
      <c r="BT1" s="3"/>
      <c r="BU1" s="2"/>
      <c r="BV1" s="2"/>
      <c r="BW1" s="2"/>
      <c r="BX1" s="3"/>
      <c r="BY1" s="2"/>
      <c r="BZ1" s="2"/>
      <c r="CA1" s="2"/>
      <c r="CB1" s="3"/>
      <c r="CC1" s="2"/>
      <c r="CD1" s="2"/>
      <c r="CE1" s="2"/>
      <c r="CF1" s="3"/>
      <c r="CG1" s="2"/>
      <c r="CH1" s="2"/>
      <c r="CI1" s="2"/>
      <c r="CJ1" s="3"/>
      <c r="CK1" s="2"/>
      <c r="CL1" s="2"/>
      <c r="CM1" s="3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</row>
    <row r="2" spans="1:115" ht="15" customHeight="1" x14ac:dyDescent="0.35">
      <c r="A2" s="4" t="s">
        <v>0</v>
      </c>
      <c r="B2" s="5"/>
      <c r="C2" s="6"/>
      <c r="D2" s="5"/>
      <c r="E2" s="5"/>
      <c r="F2" s="5"/>
      <c r="G2" s="6"/>
      <c r="H2" s="6"/>
      <c r="I2" s="6"/>
      <c r="J2" s="6"/>
      <c r="K2" s="6"/>
      <c r="L2" s="6"/>
      <c r="M2" s="6"/>
      <c r="N2" s="5"/>
      <c r="O2" s="6"/>
      <c r="P2" s="6"/>
      <c r="Q2" s="6"/>
      <c r="R2" s="5"/>
      <c r="S2" s="6"/>
      <c r="T2" s="6"/>
      <c r="U2" s="6"/>
      <c r="V2" s="5"/>
      <c r="W2" s="6"/>
      <c r="X2" s="6"/>
      <c r="Y2" s="6"/>
      <c r="Z2" s="5"/>
      <c r="AA2" s="6"/>
      <c r="AB2" s="6"/>
      <c r="AC2" s="6"/>
      <c r="AD2" s="5"/>
      <c r="AE2" s="6"/>
      <c r="AF2" s="6"/>
      <c r="AG2" s="6"/>
      <c r="AH2" s="5"/>
      <c r="AI2" s="6"/>
      <c r="AJ2" s="6"/>
      <c r="AK2" s="6"/>
      <c r="AL2" s="6"/>
      <c r="AM2" s="6"/>
      <c r="AN2" s="5"/>
      <c r="AO2" s="6"/>
      <c r="AP2" s="6"/>
      <c r="AQ2" s="6"/>
      <c r="AR2" s="5"/>
      <c r="AS2" s="6"/>
      <c r="AT2" s="6"/>
      <c r="AU2" s="6"/>
      <c r="AV2" s="5"/>
      <c r="AW2" s="6"/>
      <c r="AX2" s="6"/>
      <c r="AY2" s="6"/>
      <c r="AZ2" s="5"/>
      <c r="BA2" s="6"/>
      <c r="BB2" s="6"/>
      <c r="BC2" s="6"/>
      <c r="BD2" s="5"/>
      <c r="BE2" s="6"/>
      <c r="BF2" s="6"/>
      <c r="BG2" s="6"/>
      <c r="BH2" s="5"/>
      <c r="BI2" s="6"/>
      <c r="BJ2" s="6"/>
      <c r="BK2" s="6"/>
      <c r="BL2" s="5"/>
      <c r="BM2" s="6"/>
      <c r="BN2" s="6"/>
      <c r="BO2" s="6"/>
      <c r="BP2" s="5"/>
      <c r="BQ2" s="6"/>
      <c r="BR2" s="6"/>
      <c r="BS2" s="6"/>
      <c r="BT2" s="5"/>
      <c r="BU2" s="6"/>
      <c r="BV2" s="6"/>
      <c r="BW2" s="6"/>
      <c r="BX2" s="5"/>
      <c r="BY2" s="6"/>
      <c r="BZ2" s="6"/>
      <c r="CA2" s="6"/>
      <c r="CB2" s="5"/>
      <c r="CC2" s="6"/>
      <c r="CD2" s="6"/>
      <c r="CE2" s="6"/>
      <c r="CF2" s="5"/>
      <c r="CG2" s="6"/>
      <c r="CH2" s="6"/>
      <c r="CI2" s="6"/>
      <c r="CJ2" s="5"/>
      <c r="CK2" s="6"/>
      <c r="CL2" s="6"/>
      <c r="CM2" s="5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</row>
    <row r="3" spans="1:115" ht="15" customHeight="1" x14ac:dyDescent="0.3">
      <c r="A3" s="194" t="s">
        <v>1</v>
      </c>
      <c r="B3" s="195"/>
      <c r="C3" s="195"/>
      <c r="D3" s="195"/>
      <c r="E3" s="195"/>
      <c r="F3" s="195"/>
      <c r="G3" s="195"/>
      <c r="H3" s="195"/>
      <c r="I3" s="195"/>
      <c r="J3" s="195"/>
      <c r="K3" s="7"/>
      <c r="L3" s="7"/>
      <c r="M3" s="8"/>
      <c r="N3" s="9"/>
      <c r="O3" s="7"/>
      <c r="P3" s="7"/>
      <c r="Q3" s="8"/>
      <c r="R3" s="9"/>
      <c r="S3" s="7"/>
      <c r="T3" s="7"/>
      <c r="U3" s="8"/>
      <c r="V3" s="9"/>
      <c r="W3" s="7"/>
      <c r="X3" s="7"/>
      <c r="Y3" s="8"/>
      <c r="Z3" s="9"/>
      <c r="AA3" s="7"/>
      <c r="AB3" s="7"/>
      <c r="AC3" s="8"/>
      <c r="AD3" s="9"/>
      <c r="AE3" s="7"/>
      <c r="AF3" s="7"/>
      <c r="AG3" s="8"/>
      <c r="AH3" s="9"/>
      <c r="AI3" s="8"/>
      <c r="AJ3" s="8"/>
      <c r="AK3" s="8"/>
      <c r="AL3" s="8"/>
      <c r="AM3" s="8"/>
      <c r="AN3" s="9"/>
      <c r="AO3" s="8"/>
      <c r="AP3" s="8"/>
      <c r="AQ3" s="8"/>
      <c r="AR3" s="9"/>
      <c r="AS3" s="8"/>
      <c r="AT3" s="8"/>
      <c r="AU3" s="8"/>
      <c r="AV3" s="9"/>
      <c r="AW3" s="8"/>
      <c r="AX3" s="8"/>
      <c r="AY3" s="8"/>
      <c r="AZ3" s="9"/>
      <c r="BA3" s="8"/>
      <c r="BB3" s="8"/>
      <c r="BC3" s="8"/>
      <c r="BD3" s="9"/>
      <c r="BE3" s="8"/>
      <c r="BF3" s="8"/>
      <c r="BG3" s="8"/>
      <c r="BH3" s="9"/>
      <c r="BI3" s="8"/>
      <c r="BJ3" s="8"/>
      <c r="BK3" s="8"/>
      <c r="BL3" s="9"/>
      <c r="BM3" s="8"/>
      <c r="BN3" s="8"/>
      <c r="BO3" s="8"/>
      <c r="BP3" s="9"/>
      <c r="BQ3" s="8"/>
      <c r="BR3" s="8"/>
      <c r="BS3" s="8"/>
      <c r="BT3" s="9"/>
      <c r="BU3" s="8"/>
      <c r="BV3" s="8"/>
      <c r="BW3" s="8"/>
      <c r="BX3" s="9"/>
      <c r="BY3" s="8"/>
      <c r="BZ3" s="8"/>
      <c r="CA3" s="8"/>
      <c r="CB3" s="9"/>
      <c r="CC3" s="8"/>
      <c r="CD3" s="8"/>
      <c r="CE3" s="8"/>
      <c r="CF3" s="9"/>
      <c r="CG3" s="8"/>
      <c r="CH3" s="8"/>
      <c r="CI3" s="8"/>
      <c r="CJ3" s="9"/>
      <c r="CK3" s="8"/>
      <c r="CL3" s="8"/>
      <c r="CM3" s="9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</row>
    <row r="4" spans="1:115" ht="27" customHeight="1" x14ac:dyDescent="0.3">
      <c r="A4" s="10"/>
      <c r="B4" s="7"/>
      <c r="C4" s="7"/>
      <c r="D4" s="7"/>
      <c r="E4" s="7"/>
      <c r="F4" s="11"/>
      <c r="G4" s="7"/>
      <c r="H4" s="7"/>
      <c r="I4" s="7"/>
      <c r="J4" s="7"/>
      <c r="K4" s="7"/>
      <c r="L4" s="7"/>
      <c r="M4" s="7"/>
      <c r="N4" s="11"/>
      <c r="O4" s="7"/>
      <c r="P4" s="7"/>
      <c r="Q4" s="7"/>
      <c r="R4" s="11"/>
      <c r="S4" s="7"/>
      <c r="T4" s="7"/>
      <c r="U4" s="7"/>
      <c r="V4" s="11"/>
      <c r="W4" s="7"/>
      <c r="X4" s="7"/>
      <c r="Y4" s="7"/>
      <c r="Z4" s="11"/>
      <c r="AA4" s="7"/>
      <c r="AB4" s="7"/>
      <c r="AC4" s="7"/>
      <c r="AD4" s="11"/>
      <c r="AE4" s="7"/>
      <c r="AF4" s="7"/>
      <c r="AG4" s="7"/>
      <c r="AH4" s="11"/>
      <c r="AI4" s="7"/>
      <c r="AK4" s="7"/>
      <c r="AL4" s="7"/>
      <c r="AM4" s="7"/>
      <c r="AN4" s="11"/>
      <c r="AO4" s="7"/>
      <c r="AP4" s="7"/>
      <c r="AQ4" s="7"/>
      <c r="AR4" s="11"/>
      <c r="AS4" s="7"/>
      <c r="AT4" s="7"/>
      <c r="AU4" s="7"/>
      <c r="AV4" s="11"/>
      <c r="AW4" s="7"/>
      <c r="AX4" s="7"/>
      <c r="AY4" s="7"/>
      <c r="AZ4" s="11"/>
      <c r="BA4" s="7"/>
      <c r="BB4" s="7"/>
      <c r="BC4" s="7"/>
      <c r="BD4" s="11"/>
      <c r="BE4" s="7"/>
      <c r="BF4" s="7"/>
      <c r="BG4" s="7"/>
      <c r="BH4" s="11"/>
      <c r="BI4" s="7"/>
      <c r="BJ4" s="11"/>
      <c r="BK4" s="7"/>
      <c r="BL4" s="11"/>
      <c r="BM4" s="7"/>
      <c r="BN4" s="7"/>
      <c r="BO4" s="7"/>
      <c r="BP4" s="11"/>
      <c r="BQ4" s="204" t="s">
        <v>47</v>
      </c>
      <c r="BR4" s="204"/>
      <c r="BS4" s="204"/>
      <c r="BT4" s="204"/>
      <c r="BU4" s="7"/>
      <c r="BV4" s="7"/>
      <c r="BW4" s="7"/>
      <c r="BX4" s="11"/>
      <c r="BY4" s="7"/>
      <c r="BZ4" s="7"/>
      <c r="CA4" s="7"/>
      <c r="CB4" s="11"/>
      <c r="CC4" s="7"/>
      <c r="CD4" s="7"/>
      <c r="CE4" s="7"/>
      <c r="CF4" s="11"/>
      <c r="CG4" s="7"/>
      <c r="CH4" s="7"/>
      <c r="CI4" s="7"/>
      <c r="CJ4" s="11"/>
      <c r="CK4" s="7"/>
      <c r="CL4" s="7"/>
      <c r="CM4" s="11"/>
      <c r="CN4" s="7"/>
      <c r="CO4" s="7"/>
      <c r="CP4" s="12"/>
      <c r="DK4" s="7"/>
    </row>
    <row r="5" spans="1:115" ht="15" customHeight="1" x14ac:dyDescent="0.3">
      <c r="A5" s="13"/>
      <c r="B5" s="14"/>
      <c r="C5" s="14"/>
      <c r="D5" s="15"/>
      <c r="E5" s="15"/>
      <c r="F5" s="15"/>
      <c r="G5" s="14"/>
      <c r="H5" s="14"/>
      <c r="I5" s="14"/>
      <c r="J5" s="14"/>
      <c r="K5" s="14"/>
      <c r="L5" s="14"/>
      <c r="M5" s="14"/>
      <c r="N5" s="15"/>
      <c r="O5" s="14"/>
      <c r="P5" s="14"/>
      <c r="Q5" s="14"/>
      <c r="R5" s="15"/>
      <c r="S5" s="14"/>
      <c r="T5" s="14"/>
      <c r="U5" s="14"/>
      <c r="V5" s="15"/>
      <c r="W5" s="14"/>
      <c r="X5" s="14"/>
      <c r="Y5" s="14"/>
      <c r="Z5" s="15"/>
      <c r="AA5" s="14"/>
      <c r="AB5" s="14"/>
      <c r="AC5" s="14"/>
      <c r="AD5" s="15"/>
      <c r="AE5" s="14"/>
      <c r="AF5" s="14"/>
      <c r="AG5" s="14"/>
      <c r="AH5" s="15"/>
      <c r="AI5" s="14"/>
      <c r="AJ5" s="14"/>
      <c r="AK5" s="14"/>
      <c r="AL5" s="14"/>
      <c r="AM5" s="14"/>
      <c r="AN5" s="15"/>
      <c r="AO5" s="14"/>
      <c r="AP5" s="14"/>
      <c r="AQ5" s="14"/>
      <c r="AR5" s="15"/>
      <c r="AS5" s="14"/>
      <c r="AT5" s="14"/>
      <c r="AU5" s="14"/>
      <c r="AV5" s="15"/>
      <c r="AW5" s="14"/>
      <c r="AX5" s="14"/>
      <c r="AY5" s="14"/>
      <c r="AZ5" s="15"/>
      <c r="BA5" s="14"/>
      <c r="BB5" s="14"/>
      <c r="BC5" s="14"/>
      <c r="BD5" s="15"/>
      <c r="BE5" s="14"/>
      <c r="BF5" s="14"/>
      <c r="BG5" s="14"/>
      <c r="BH5" s="15"/>
      <c r="BI5" s="14"/>
      <c r="BJ5" s="14"/>
      <c r="BK5" s="14"/>
      <c r="BL5" s="15"/>
      <c r="BM5" s="14"/>
      <c r="BN5" s="14"/>
      <c r="BO5" s="14"/>
      <c r="BP5" s="15"/>
      <c r="BQ5" s="205"/>
      <c r="BR5" s="205"/>
      <c r="BS5" s="205"/>
      <c r="BT5" s="205"/>
      <c r="BU5" s="148"/>
      <c r="BV5" s="148"/>
      <c r="BW5" s="148"/>
      <c r="CB5" s="15"/>
      <c r="CC5" s="7"/>
      <c r="CD5" s="14"/>
      <c r="CE5" s="14"/>
      <c r="CF5" s="15"/>
      <c r="CG5" s="14"/>
      <c r="CH5" s="14"/>
      <c r="CI5" s="14"/>
      <c r="CJ5" s="15"/>
      <c r="CK5" s="14"/>
      <c r="CL5" s="14"/>
      <c r="CM5" s="15"/>
      <c r="CN5" s="14"/>
      <c r="CO5" s="7"/>
      <c r="CP5" s="16"/>
      <c r="DK5" s="14"/>
    </row>
    <row r="6" spans="1:115" ht="12.75" customHeight="1" x14ac:dyDescent="0.25">
      <c r="A6" s="17" t="s">
        <v>2</v>
      </c>
      <c r="B6" s="18" t="s">
        <v>2</v>
      </c>
      <c r="C6" s="18" t="s">
        <v>3</v>
      </c>
      <c r="D6" s="19" t="s">
        <v>4</v>
      </c>
      <c r="E6" s="19" t="s">
        <v>5</v>
      </c>
      <c r="F6" s="19" t="s">
        <v>6</v>
      </c>
      <c r="G6" s="196" t="s">
        <v>7</v>
      </c>
      <c r="H6" s="197"/>
      <c r="I6" s="20" t="s">
        <v>8</v>
      </c>
      <c r="J6" s="21" t="s">
        <v>9</v>
      </c>
      <c r="K6" s="213" t="s">
        <v>10</v>
      </c>
      <c r="L6" s="214"/>
      <c r="M6" s="214"/>
      <c r="N6" s="214"/>
      <c r="O6" s="214"/>
      <c r="P6" s="214"/>
      <c r="Q6" s="214"/>
      <c r="R6" s="214"/>
      <c r="S6" s="214"/>
      <c r="T6" s="214"/>
      <c r="U6" s="214"/>
      <c r="V6" s="214"/>
      <c r="W6" s="214"/>
      <c r="X6" s="214"/>
      <c r="Y6" s="214"/>
      <c r="Z6" s="214"/>
      <c r="AA6" s="214"/>
      <c r="AB6" s="214"/>
      <c r="AC6" s="214"/>
      <c r="AD6" s="214"/>
      <c r="AE6" s="214"/>
      <c r="AF6" s="214"/>
      <c r="AG6" s="214"/>
      <c r="AH6" s="214"/>
      <c r="AI6" s="24"/>
      <c r="AJ6" s="24"/>
      <c r="AK6" s="215" t="s">
        <v>11</v>
      </c>
      <c r="AL6" s="216"/>
      <c r="AM6" s="216"/>
      <c r="AN6" s="216"/>
      <c r="AO6" s="216"/>
      <c r="AP6" s="216"/>
      <c r="AQ6" s="216"/>
      <c r="AR6" s="216"/>
      <c r="AS6" s="216"/>
      <c r="AT6" s="216"/>
      <c r="AU6" s="216"/>
      <c r="AV6" s="216"/>
      <c r="AW6" s="216"/>
      <c r="AX6" s="216"/>
      <c r="AY6" s="216"/>
      <c r="AZ6" s="216"/>
      <c r="BA6" s="216"/>
      <c r="BB6" s="216"/>
      <c r="BC6" s="216"/>
      <c r="BD6" s="216"/>
      <c r="BE6" s="216"/>
      <c r="BF6" s="24"/>
      <c r="BG6" s="23"/>
      <c r="BH6" s="25"/>
      <c r="BI6" s="24"/>
      <c r="BJ6" s="24"/>
      <c r="BK6" s="23"/>
      <c r="BL6" s="25"/>
      <c r="BM6" s="215" t="s">
        <v>12</v>
      </c>
      <c r="BN6" s="216"/>
      <c r="BO6" s="216"/>
      <c r="BP6" s="216"/>
      <c r="BQ6" s="216"/>
      <c r="BR6" s="216"/>
      <c r="BS6" s="216"/>
      <c r="BT6" s="216"/>
      <c r="BU6" s="216"/>
      <c r="BV6" s="216"/>
      <c r="BW6" s="216"/>
      <c r="BX6" s="216"/>
      <c r="BY6" s="216"/>
      <c r="BZ6" s="216"/>
      <c r="CA6" s="216"/>
      <c r="CB6" s="216"/>
      <c r="CC6" s="216"/>
      <c r="CD6" s="216"/>
      <c r="CE6" s="216"/>
      <c r="CF6" s="216"/>
      <c r="CG6" s="216"/>
      <c r="CH6" s="216"/>
      <c r="CI6" s="216"/>
      <c r="CJ6" s="216"/>
      <c r="CK6" s="216"/>
      <c r="CL6" s="216"/>
      <c r="CM6" s="217"/>
      <c r="CN6" s="209" t="s">
        <v>13</v>
      </c>
      <c r="CO6" s="210"/>
      <c r="CP6" s="26" t="s">
        <v>14</v>
      </c>
      <c r="DK6" s="22"/>
    </row>
    <row r="7" spans="1:115" ht="12.75" customHeight="1" x14ac:dyDescent="0.25">
      <c r="A7" s="17" t="s">
        <v>15</v>
      </c>
      <c r="B7" s="18" t="s">
        <v>16</v>
      </c>
      <c r="C7" s="18"/>
      <c r="D7" s="19"/>
      <c r="E7" s="19" t="s">
        <v>16</v>
      </c>
      <c r="F7" s="19" t="s">
        <v>17</v>
      </c>
      <c r="G7" s="196" t="s">
        <v>18</v>
      </c>
      <c r="H7" s="197"/>
      <c r="I7" s="20" t="s">
        <v>16</v>
      </c>
      <c r="J7" s="21" t="s">
        <v>19</v>
      </c>
      <c r="K7" s="206">
        <v>45047</v>
      </c>
      <c r="L7" s="207"/>
      <c r="M7" s="207"/>
      <c r="N7" s="211"/>
      <c r="O7" s="212">
        <f>K7+1</f>
        <v>45048</v>
      </c>
      <c r="P7" s="207"/>
      <c r="Q7" s="207"/>
      <c r="R7" s="211"/>
      <c r="S7" s="212">
        <f>O7+1</f>
        <v>45049</v>
      </c>
      <c r="T7" s="207"/>
      <c r="U7" s="207"/>
      <c r="V7" s="211"/>
      <c r="W7" s="212">
        <f>S7+1</f>
        <v>45050</v>
      </c>
      <c r="X7" s="207"/>
      <c r="Y7" s="207"/>
      <c r="Z7" s="211"/>
      <c r="AA7" s="212">
        <f>W7+1</f>
        <v>45051</v>
      </c>
      <c r="AB7" s="207"/>
      <c r="AC7" s="207"/>
      <c r="AD7" s="211"/>
      <c r="AE7" s="212">
        <f>AA7+1</f>
        <v>45052</v>
      </c>
      <c r="AF7" s="207"/>
      <c r="AG7" s="207"/>
      <c r="AH7" s="211"/>
      <c r="AI7" s="212">
        <f>AE7+1</f>
        <v>45053</v>
      </c>
      <c r="AJ7" s="208"/>
      <c r="AK7" s="212">
        <f>AI7+1</f>
        <v>45054</v>
      </c>
      <c r="AL7" s="207"/>
      <c r="AM7" s="207"/>
      <c r="AN7" s="208"/>
      <c r="AO7" s="212">
        <f>AK7+1</f>
        <v>45055</v>
      </c>
      <c r="AP7" s="207"/>
      <c r="AQ7" s="207"/>
      <c r="AR7" s="208"/>
      <c r="AS7" s="206">
        <f>AO7+1</f>
        <v>45056</v>
      </c>
      <c r="AT7" s="207"/>
      <c r="AU7" s="207"/>
      <c r="AV7" s="208"/>
      <c r="AW7" s="206">
        <f>AS7+1</f>
        <v>45057</v>
      </c>
      <c r="AX7" s="207"/>
      <c r="AY7" s="207"/>
      <c r="AZ7" s="208"/>
      <c r="BA7" s="206">
        <f>AW7+1</f>
        <v>45058</v>
      </c>
      <c r="BB7" s="207"/>
      <c r="BC7" s="207"/>
      <c r="BD7" s="208"/>
      <c r="BE7" s="206">
        <f>BA7+1</f>
        <v>45059</v>
      </c>
      <c r="BF7" s="207"/>
      <c r="BG7" s="207"/>
      <c r="BH7" s="208"/>
      <c r="BI7" s="206">
        <f>BE7+1</f>
        <v>45060</v>
      </c>
      <c r="BJ7" s="207"/>
      <c r="BK7" s="207"/>
      <c r="BL7" s="208"/>
      <c r="BM7" s="206">
        <f>BI7+1</f>
        <v>45061</v>
      </c>
      <c r="BN7" s="207"/>
      <c r="BO7" s="207"/>
      <c r="BP7" s="208"/>
      <c r="BQ7" s="206">
        <f>BM7+1</f>
        <v>45062</v>
      </c>
      <c r="BR7" s="207"/>
      <c r="BS7" s="207"/>
      <c r="BT7" s="208"/>
      <c r="BU7" s="206">
        <f>BQ7+1</f>
        <v>45063</v>
      </c>
      <c r="BV7" s="207"/>
      <c r="BW7" s="207"/>
      <c r="BX7" s="208"/>
      <c r="BY7" s="206">
        <f>BU7+1</f>
        <v>45064</v>
      </c>
      <c r="BZ7" s="207"/>
      <c r="CA7" s="207"/>
      <c r="CB7" s="208"/>
      <c r="CC7" s="206">
        <f>BY7+1</f>
        <v>45065</v>
      </c>
      <c r="CD7" s="207"/>
      <c r="CE7" s="207"/>
      <c r="CF7" s="208"/>
      <c r="CG7" s="206">
        <f>CC7+1</f>
        <v>45066</v>
      </c>
      <c r="CH7" s="207"/>
      <c r="CI7" s="207"/>
      <c r="CJ7" s="208"/>
      <c r="CK7" s="206">
        <f>CG7+1</f>
        <v>45067</v>
      </c>
      <c r="CL7" s="207"/>
      <c r="CM7" s="208"/>
      <c r="CN7" s="27"/>
      <c r="CO7" s="28"/>
      <c r="CP7" s="29" t="s">
        <v>20</v>
      </c>
      <c r="DK7" s="30"/>
    </row>
    <row r="8" spans="1:115" ht="13.5" customHeight="1" thickBot="1" x14ac:dyDescent="0.3">
      <c r="A8" s="31"/>
      <c r="B8" s="28" t="s">
        <v>21</v>
      </c>
      <c r="C8" s="28"/>
      <c r="D8" s="32"/>
      <c r="E8" s="32" t="s">
        <v>22</v>
      </c>
      <c r="F8" s="32" t="s">
        <v>23</v>
      </c>
      <c r="G8" s="33"/>
      <c r="H8" s="32"/>
      <c r="I8" s="33" t="s">
        <v>24</v>
      </c>
      <c r="J8" s="34" t="s">
        <v>25</v>
      </c>
      <c r="K8" s="28" t="s">
        <v>26</v>
      </c>
      <c r="L8" s="28" t="s">
        <v>27</v>
      </c>
      <c r="M8" s="35" t="s">
        <v>28</v>
      </c>
      <c r="N8" s="36" t="s">
        <v>29</v>
      </c>
      <c r="O8" s="28" t="s">
        <v>26</v>
      </c>
      <c r="P8" s="28" t="s">
        <v>27</v>
      </c>
      <c r="Q8" s="35" t="s">
        <v>28</v>
      </c>
      <c r="R8" s="36" t="s">
        <v>29</v>
      </c>
      <c r="S8" s="28" t="s">
        <v>26</v>
      </c>
      <c r="T8" s="28" t="s">
        <v>27</v>
      </c>
      <c r="U8" s="35" t="s">
        <v>28</v>
      </c>
      <c r="V8" s="36" t="s">
        <v>29</v>
      </c>
      <c r="W8" s="28"/>
      <c r="X8" s="28" t="s">
        <v>27</v>
      </c>
      <c r="Y8" s="35" t="s">
        <v>28</v>
      </c>
      <c r="Z8" s="36" t="s">
        <v>29</v>
      </c>
      <c r="AA8" s="28" t="s">
        <v>26</v>
      </c>
      <c r="AB8" s="28" t="s">
        <v>27</v>
      </c>
      <c r="AC8" s="35" t="s">
        <v>28</v>
      </c>
      <c r="AD8" s="36" t="s">
        <v>29</v>
      </c>
      <c r="AE8" s="28" t="s">
        <v>26</v>
      </c>
      <c r="AF8" s="28" t="s">
        <v>27</v>
      </c>
      <c r="AG8" s="35" t="s">
        <v>28</v>
      </c>
      <c r="AH8" s="36" t="s">
        <v>29</v>
      </c>
      <c r="AI8" s="37" t="s">
        <v>26</v>
      </c>
      <c r="AJ8" s="28" t="s">
        <v>27</v>
      </c>
      <c r="AK8" s="28" t="s">
        <v>26</v>
      </c>
      <c r="AL8" s="28" t="s">
        <v>27</v>
      </c>
      <c r="AM8" s="35" t="s">
        <v>28</v>
      </c>
      <c r="AN8" s="36" t="s">
        <v>29</v>
      </c>
      <c r="AO8" s="28" t="s">
        <v>26</v>
      </c>
      <c r="AP8" s="28" t="s">
        <v>27</v>
      </c>
      <c r="AQ8" s="35" t="s">
        <v>28</v>
      </c>
      <c r="AR8" s="36" t="s">
        <v>29</v>
      </c>
      <c r="AS8" s="28" t="s">
        <v>26</v>
      </c>
      <c r="AT8" s="28" t="s">
        <v>27</v>
      </c>
      <c r="AU8" s="35" t="s">
        <v>28</v>
      </c>
      <c r="AV8" s="36" t="s">
        <v>29</v>
      </c>
      <c r="AW8" s="28" t="s">
        <v>26</v>
      </c>
      <c r="AX8" s="28" t="s">
        <v>27</v>
      </c>
      <c r="AY8" s="35" t="s">
        <v>28</v>
      </c>
      <c r="AZ8" s="36" t="s">
        <v>29</v>
      </c>
      <c r="BA8" s="28" t="s">
        <v>26</v>
      </c>
      <c r="BB8" s="28" t="s">
        <v>27</v>
      </c>
      <c r="BC8" s="35" t="s">
        <v>28</v>
      </c>
      <c r="BD8" s="36" t="s">
        <v>29</v>
      </c>
      <c r="BE8" s="28" t="s">
        <v>26</v>
      </c>
      <c r="BF8" s="28" t="s">
        <v>27</v>
      </c>
      <c r="BG8" s="35" t="s">
        <v>28</v>
      </c>
      <c r="BH8" s="36" t="s">
        <v>29</v>
      </c>
      <c r="BI8" s="37" t="s">
        <v>26</v>
      </c>
      <c r="BJ8" s="28" t="s">
        <v>27</v>
      </c>
      <c r="BK8" s="35" t="s">
        <v>28</v>
      </c>
      <c r="BL8" s="36" t="s">
        <v>29</v>
      </c>
      <c r="BM8" s="28" t="s">
        <v>26</v>
      </c>
      <c r="BN8" s="28" t="s">
        <v>27</v>
      </c>
      <c r="BO8" s="35" t="s">
        <v>28</v>
      </c>
      <c r="BP8" s="36" t="s">
        <v>29</v>
      </c>
      <c r="BQ8" s="28" t="s">
        <v>26</v>
      </c>
      <c r="BR8" s="28" t="s">
        <v>27</v>
      </c>
      <c r="BS8" s="35" t="s">
        <v>28</v>
      </c>
      <c r="BT8" s="36" t="s">
        <v>29</v>
      </c>
      <c r="BU8" s="28" t="s">
        <v>26</v>
      </c>
      <c r="BV8" s="28" t="s">
        <v>27</v>
      </c>
      <c r="BW8" s="35" t="s">
        <v>28</v>
      </c>
      <c r="BX8" s="36" t="s">
        <v>29</v>
      </c>
      <c r="BY8" s="28" t="s">
        <v>26</v>
      </c>
      <c r="BZ8" s="28" t="s">
        <v>27</v>
      </c>
      <c r="CA8" s="35" t="s">
        <v>28</v>
      </c>
      <c r="CB8" s="36" t="s">
        <v>29</v>
      </c>
      <c r="CC8" s="28" t="s">
        <v>26</v>
      </c>
      <c r="CD8" s="28" t="s">
        <v>27</v>
      </c>
      <c r="CE8" s="35" t="s">
        <v>28</v>
      </c>
      <c r="CF8" s="36" t="s">
        <v>29</v>
      </c>
      <c r="CG8" s="28" t="s">
        <v>26</v>
      </c>
      <c r="CH8" s="28" t="s">
        <v>27</v>
      </c>
      <c r="CI8" s="28" t="s">
        <v>28</v>
      </c>
      <c r="CJ8" s="36" t="s">
        <v>29</v>
      </c>
      <c r="CK8" s="31" t="s">
        <v>26</v>
      </c>
      <c r="CL8" s="28" t="s">
        <v>27</v>
      </c>
      <c r="CM8" s="38" t="s">
        <v>30</v>
      </c>
      <c r="CN8" s="28" t="s">
        <v>26</v>
      </c>
      <c r="CO8" s="28" t="s">
        <v>27</v>
      </c>
      <c r="CP8" s="39" t="s">
        <v>31</v>
      </c>
    </row>
    <row r="9" spans="1:115" ht="15.75" customHeight="1" thickBot="1" x14ac:dyDescent="0.35">
      <c r="A9" s="141" t="s">
        <v>32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1"/>
      <c r="CL9" s="40"/>
      <c r="CM9" s="40"/>
      <c r="CN9" s="42"/>
      <c r="CO9" s="42"/>
      <c r="CP9" s="43"/>
      <c r="DK9" s="40"/>
    </row>
    <row r="10" spans="1:115" ht="13.5" customHeight="1" x14ac:dyDescent="0.3">
      <c r="A10" s="44"/>
      <c r="B10" s="189">
        <v>3</v>
      </c>
      <c r="C10" s="45" t="s">
        <v>33</v>
      </c>
      <c r="D10" s="143" t="s">
        <v>34</v>
      </c>
      <c r="E10" s="46"/>
      <c r="F10" s="46">
        <v>100</v>
      </c>
      <c r="G10" s="47"/>
      <c r="H10" s="45">
        <v>15000</v>
      </c>
      <c r="I10" s="200">
        <v>45250</v>
      </c>
      <c r="J10" s="48" t="s">
        <v>9</v>
      </c>
      <c r="K10" s="49"/>
      <c r="L10" s="50">
        <f>K10*F10</f>
        <v>0</v>
      </c>
      <c r="M10" s="51">
        <f t="shared" ref="M10:N10" si="0">CO10</f>
        <v>15000</v>
      </c>
      <c r="N10" s="52">
        <f t="shared" si="0"/>
        <v>0</v>
      </c>
      <c r="O10" s="53"/>
      <c r="P10" s="54">
        <f>O10*F10</f>
        <v>0</v>
      </c>
      <c r="Q10" s="51">
        <f t="shared" ref="Q10:R10" si="1">CO10</f>
        <v>15000</v>
      </c>
      <c r="R10" s="52">
        <f t="shared" si="1"/>
        <v>0</v>
      </c>
      <c r="S10" s="53"/>
      <c r="T10" s="54">
        <f>S10*F10</f>
        <v>0</v>
      </c>
      <c r="U10" s="51">
        <f t="shared" ref="U10:V10" si="2">CO10</f>
        <v>15000</v>
      </c>
      <c r="V10" s="52">
        <f t="shared" si="2"/>
        <v>0</v>
      </c>
      <c r="W10" s="55"/>
      <c r="X10" s="50">
        <f>W10*F10</f>
        <v>0</v>
      </c>
      <c r="Y10" s="51">
        <f t="shared" ref="Y10:Z10" si="3">CO10</f>
        <v>15000</v>
      </c>
      <c r="Z10" s="52">
        <f t="shared" si="3"/>
        <v>0</v>
      </c>
      <c r="AA10" s="56"/>
      <c r="AB10" s="50">
        <f>AA10*F10</f>
        <v>0</v>
      </c>
      <c r="AC10" s="51">
        <f t="shared" ref="AC10:AD10" si="4">CO10</f>
        <v>15000</v>
      </c>
      <c r="AD10" s="52">
        <f t="shared" si="4"/>
        <v>0</v>
      </c>
      <c r="AE10" s="56"/>
      <c r="AF10" s="50">
        <f>AE10*F10</f>
        <v>0</v>
      </c>
      <c r="AG10" s="51">
        <f t="shared" ref="AG10:AH10" si="5">CO10</f>
        <v>15000</v>
      </c>
      <c r="AH10" s="52">
        <f t="shared" si="5"/>
        <v>0</v>
      </c>
      <c r="AI10" s="57"/>
      <c r="AJ10" s="54">
        <f>AI10*F10</f>
        <v>0</v>
      </c>
      <c r="AK10" s="56"/>
      <c r="AL10" s="50">
        <f>AK10*F10</f>
        <v>0</v>
      </c>
      <c r="AM10" s="51">
        <f t="shared" ref="AM10:AN10" si="6">CO10</f>
        <v>15000</v>
      </c>
      <c r="AN10" s="52">
        <f t="shared" si="6"/>
        <v>0</v>
      </c>
      <c r="AO10" s="53"/>
      <c r="AP10" s="54">
        <f>AO10*F10</f>
        <v>0</v>
      </c>
      <c r="AQ10" s="51">
        <f t="shared" ref="AQ10:AR10" si="7">CO10</f>
        <v>15000</v>
      </c>
      <c r="AR10" s="52">
        <f t="shared" si="7"/>
        <v>0</v>
      </c>
      <c r="AS10" s="56"/>
      <c r="AT10" s="58">
        <f>AS10*F10</f>
        <v>0</v>
      </c>
      <c r="AU10" s="51">
        <f t="shared" ref="AU10:AV10" si="8">CO10</f>
        <v>15000</v>
      </c>
      <c r="AV10" s="52">
        <f t="shared" si="8"/>
        <v>0</v>
      </c>
      <c r="AW10" s="56">
        <f>24-8-AW14</f>
        <v>4</v>
      </c>
      <c r="AX10" s="50">
        <f>AW10*F10</f>
        <v>400</v>
      </c>
      <c r="AY10" s="51">
        <f t="shared" ref="AY10:AZ10" si="9">CO10</f>
        <v>15000</v>
      </c>
      <c r="AZ10" s="52">
        <f t="shared" si="9"/>
        <v>0</v>
      </c>
      <c r="BA10" s="56">
        <v>24</v>
      </c>
      <c r="BB10" s="50">
        <f>BA10*F10</f>
        <v>2400</v>
      </c>
      <c r="BC10" s="51">
        <f t="shared" ref="BC10:BD10" si="10">CO10</f>
        <v>15000</v>
      </c>
      <c r="BD10" s="52">
        <f t="shared" si="10"/>
        <v>0</v>
      </c>
      <c r="BE10" s="49">
        <v>19</v>
      </c>
      <c r="BF10" s="50">
        <f>BE10*F10</f>
        <v>1900</v>
      </c>
      <c r="BG10" s="51">
        <f t="shared" ref="BG10:BH10" si="11">CO10</f>
        <v>15000</v>
      </c>
      <c r="BH10" s="52">
        <f t="shared" si="11"/>
        <v>0</v>
      </c>
      <c r="BI10" s="59"/>
      <c r="BJ10" s="54">
        <f>BI10*F10</f>
        <v>0</v>
      </c>
      <c r="BK10" s="51">
        <f t="shared" ref="BK10:BL10" si="12">CO10</f>
        <v>15000</v>
      </c>
      <c r="BL10" s="52">
        <f t="shared" si="12"/>
        <v>0</v>
      </c>
      <c r="BM10" s="49">
        <v>22</v>
      </c>
      <c r="BN10" s="50">
        <f>BM10*F10</f>
        <v>2200</v>
      </c>
      <c r="BO10" s="51">
        <f t="shared" ref="BO10:BP10" si="13">CO10</f>
        <v>15000</v>
      </c>
      <c r="BP10" s="52">
        <f t="shared" si="13"/>
        <v>0</v>
      </c>
      <c r="BQ10" s="60">
        <v>24</v>
      </c>
      <c r="BR10" s="50">
        <f>BQ10*F10</f>
        <v>2400</v>
      </c>
      <c r="BS10" s="51">
        <f t="shared" ref="BS10:BT10" si="14">CO10</f>
        <v>15000</v>
      </c>
      <c r="BT10" s="52">
        <f t="shared" si="14"/>
        <v>0</v>
      </c>
      <c r="BU10" s="61">
        <v>24</v>
      </c>
      <c r="BV10" s="54">
        <f>BU10*F10</f>
        <v>2400</v>
      </c>
      <c r="BW10" s="51">
        <f t="shared" ref="BW10:BX10" si="15">CO10</f>
        <v>15000</v>
      </c>
      <c r="BX10" s="52">
        <f t="shared" si="15"/>
        <v>0</v>
      </c>
      <c r="BY10" s="53">
        <v>24</v>
      </c>
      <c r="BZ10" s="54">
        <f>BY10*F10</f>
        <v>2400</v>
      </c>
      <c r="CA10" s="51">
        <f t="shared" ref="CA10:CB10" si="16">CO10</f>
        <v>15000</v>
      </c>
      <c r="CB10" s="52">
        <f t="shared" si="16"/>
        <v>0</v>
      </c>
      <c r="CC10" s="56">
        <v>9</v>
      </c>
      <c r="CD10" s="50">
        <f>CC10*F10</f>
        <v>900</v>
      </c>
      <c r="CE10" s="51">
        <f t="shared" ref="CE10:CF10" si="17">CO10</f>
        <v>15000</v>
      </c>
      <c r="CF10" s="52">
        <f t="shared" si="17"/>
        <v>0</v>
      </c>
      <c r="CG10" s="56"/>
      <c r="CH10" s="50">
        <f>CG10*F10</f>
        <v>0</v>
      </c>
      <c r="CI10" s="62">
        <f t="shared" ref="CI10:CJ10" si="18">CO10</f>
        <v>15000</v>
      </c>
      <c r="CJ10" s="52">
        <f t="shared" si="18"/>
        <v>0</v>
      </c>
      <c r="CK10" s="63"/>
      <c r="CL10" s="50">
        <f>CK10*F10</f>
        <v>0</v>
      </c>
      <c r="CM10" s="64"/>
      <c r="CN10" s="67">
        <f>K10+O10+S10+W10+AA10+AE10+AI10+AK10+AO10+AS10+AW10+BA10+BE10+BI10+BM10+BQ10+BU10+BY10+CC10+CG10+CK10</f>
        <v>150</v>
      </c>
      <c r="CO10" s="68">
        <f>L10+P10+T10+X10+AB10+AF10+AJ10+AL10+AP10+AT10+AX10+BB10+BF10+BJ10+BN10+BR10+BV10+BZ10+CD10+CH10+CL10</f>
        <v>15000</v>
      </c>
      <c r="CP10" s="169">
        <f>H10-CO10</f>
        <v>0</v>
      </c>
      <c r="CQ10" s="70"/>
      <c r="CR10" s="70"/>
      <c r="CS10" s="70"/>
      <c r="CT10" s="70"/>
      <c r="CU10" s="70"/>
      <c r="CV10" s="70"/>
      <c r="CW10" s="70"/>
      <c r="CX10" s="70"/>
      <c r="CY10" s="70"/>
      <c r="CZ10" s="70"/>
      <c r="DA10" s="70"/>
      <c r="DB10" s="70"/>
      <c r="DC10" s="70"/>
      <c r="DD10" s="70"/>
      <c r="DE10" s="70"/>
      <c r="DF10" s="70"/>
      <c r="DG10" s="70"/>
      <c r="DH10" s="70"/>
      <c r="DI10" s="70"/>
      <c r="DJ10" s="70"/>
      <c r="DK10" s="70"/>
    </row>
    <row r="11" spans="1:115" ht="13.5" hidden="1" customHeight="1" x14ac:dyDescent="0.3">
      <c r="A11" s="71"/>
      <c r="B11" s="193"/>
      <c r="C11" s="72"/>
      <c r="D11" s="73"/>
      <c r="E11" s="73"/>
      <c r="F11" s="73"/>
      <c r="G11" s="28"/>
      <c r="H11" s="72"/>
      <c r="I11" s="201"/>
      <c r="J11" s="48" t="s">
        <v>25</v>
      </c>
      <c r="K11" s="75"/>
      <c r="L11" s="75"/>
      <c r="M11" s="76"/>
      <c r="N11" s="77"/>
      <c r="O11" s="78"/>
      <c r="P11" s="78"/>
      <c r="Q11" s="76"/>
      <c r="R11" s="77"/>
      <c r="S11" s="78"/>
      <c r="T11" s="78"/>
      <c r="U11" s="76"/>
      <c r="V11" s="77"/>
      <c r="W11" s="75"/>
      <c r="X11" s="75"/>
      <c r="Y11" s="76"/>
      <c r="Z11" s="77"/>
      <c r="AA11" s="75"/>
      <c r="AB11" s="75"/>
      <c r="AC11" s="79"/>
      <c r="AD11" s="80"/>
      <c r="AE11" s="75"/>
      <c r="AF11" s="75"/>
      <c r="AG11" s="79"/>
      <c r="AH11" s="77"/>
      <c r="AI11" s="81"/>
      <c r="AJ11" s="78"/>
      <c r="AK11" s="75"/>
      <c r="AL11" s="75"/>
      <c r="AM11" s="76"/>
      <c r="AN11" s="77"/>
      <c r="AO11" s="78"/>
      <c r="AP11" s="78"/>
      <c r="AQ11" s="76"/>
      <c r="AR11" s="77"/>
      <c r="AS11" s="75"/>
      <c r="AT11" s="75"/>
      <c r="AU11" s="76"/>
      <c r="AV11" s="77"/>
      <c r="AW11" s="75"/>
      <c r="AX11" s="75"/>
      <c r="AY11" s="76"/>
      <c r="AZ11" s="77"/>
      <c r="BA11" s="75"/>
      <c r="BB11" s="75"/>
      <c r="BC11" s="76"/>
      <c r="BD11" s="77"/>
      <c r="BE11" s="75"/>
      <c r="BF11" s="75"/>
      <c r="BG11" s="76"/>
      <c r="BH11" s="77"/>
      <c r="BI11" s="81"/>
      <c r="BJ11" s="78"/>
      <c r="BK11" s="76"/>
      <c r="BL11" s="77"/>
      <c r="BM11" s="75"/>
      <c r="BN11" s="75"/>
      <c r="BO11" s="76"/>
      <c r="BP11" s="77"/>
      <c r="BQ11" s="82"/>
      <c r="BR11" s="75"/>
      <c r="BS11" s="76"/>
      <c r="BT11" s="77"/>
      <c r="BU11" s="78"/>
      <c r="BV11" s="78"/>
      <c r="BW11" s="79"/>
      <c r="BX11" s="77"/>
      <c r="BY11" s="78"/>
      <c r="BZ11" s="78"/>
      <c r="CA11" s="76"/>
      <c r="CB11" s="77"/>
      <c r="CC11" s="75"/>
      <c r="CD11" s="75"/>
      <c r="CE11" s="79"/>
      <c r="CF11" s="77"/>
      <c r="CG11" s="75"/>
      <c r="CH11" s="75"/>
      <c r="CI11" s="83"/>
      <c r="CJ11" s="77"/>
      <c r="CK11" s="84"/>
      <c r="CL11" s="75"/>
      <c r="CM11" s="85"/>
      <c r="CN11" s="86" t="e">
        <f>K11+O11+S11+W11+AA11+AE11+AI11+AK11+AO11+AS11+AW11+BA11+BE11+BI11+BM11+BQ11+BU11+BY11+CC11+CG11+CK11+#REF!+#REF!+#REF!+#REF!+#REF!+#REF!+#REF!+#REF!+#REF!+#REF!+#REF!+#REF!+#REF!+#REF!+#REF!+#REF!+#REF!+#REF!+#REF!+#REF!+#REF!+#REF!+#REF!+#REF!+#REF!+#REF!+#REF!</f>
        <v>#REF!</v>
      </c>
      <c r="CO11" s="87" t="e">
        <f>L11+P11+T11+X11+AB11+AF11+AJ11+AL11+AP11+AT11+AX11+BB11+BF11+BJ11+BN11+BR11+BV11+BZ11+CD11+CH11+CL11+#REF!+#REF!+#REF!+#REF!+#REF!+#REF!+#REF!+#REF!+#REF!+#REF!+#REF!+#REF!+#REF!+#REF!+#REF!+#REF!+#REF!+#REF!+#REF!+#REF!+#REF!+#REF!+#REF!+#REF!+#REF!+#REF!+#REF!</f>
        <v>#REF!</v>
      </c>
      <c r="CP11" s="88"/>
      <c r="CQ11" s="70"/>
      <c r="CR11" s="70"/>
      <c r="CS11" s="70"/>
      <c r="CT11" s="70"/>
      <c r="CU11" s="70"/>
      <c r="CV11" s="70"/>
      <c r="CW11" s="70"/>
      <c r="CX11" s="70"/>
      <c r="CY11" s="70"/>
      <c r="CZ11" s="70"/>
      <c r="DA11" s="70"/>
      <c r="DB11" s="70"/>
      <c r="DC11" s="70"/>
      <c r="DD11" s="70"/>
      <c r="DE11" s="70"/>
      <c r="DF11" s="70"/>
      <c r="DG11" s="70"/>
      <c r="DH11" s="70"/>
      <c r="DI11" s="70"/>
      <c r="DJ11" s="70"/>
      <c r="DK11" s="78"/>
    </row>
    <row r="12" spans="1:115" ht="13.5" customHeight="1" x14ac:dyDescent="0.3">
      <c r="A12" s="44"/>
      <c r="B12" s="193"/>
      <c r="C12" s="45"/>
      <c r="D12" s="46"/>
      <c r="E12" s="46"/>
      <c r="F12" s="46"/>
      <c r="G12" s="47"/>
      <c r="H12" s="45"/>
      <c r="I12" s="201"/>
      <c r="J12" s="48" t="s">
        <v>9</v>
      </c>
      <c r="K12" s="49"/>
      <c r="L12" s="50">
        <f>K12*F12</f>
        <v>0</v>
      </c>
      <c r="M12" s="51">
        <f t="shared" ref="M12:N12" si="19">CO12</f>
        <v>0</v>
      </c>
      <c r="N12" s="52">
        <f t="shared" si="19"/>
        <v>0</v>
      </c>
      <c r="O12" s="53"/>
      <c r="P12" s="54">
        <f>O12*F12</f>
        <v>0</v>
      </c>
      <c r="Q12" s="51">
        <f t="shared" ref="Q12:R12" si="20">CO12</f>
        <v>0</v>
      </c>
      <c r="R12" s="52">
        <f t="shared" si="20"/>
        <v>0</v>
      </c>
      <c r="S12" s="53"/>
      <c r="T12" s="54">
        <f>S12*F12</f>
        <v>0</v>
      </c>
      <c r="U12" s="51">
        <f t="shared" ref="U12:V12" si="21">CO12</f>
        <v>0</v>
      </c>
      <c r="V12" s="52">
        <f t="shared" si="21"/>
        <v>0</v>
      </c>
      <c r="W12" s="55"/>
      <c r="X12" s="50">
        <f>W12*F12</f>
        <v>0</v>
      </c>
      <c r="Y12" s="51">
        <f t="shared" ref="Y12:Z12" si="22">CO12</f>
        <v>0</v>
      </c>
      <c r="Z12" s="52">
        <f t="shared" si="22"/>
        <v>0</v>
      </c>
      <c r="AA12" s="56"/>
      <c r="AB12" s="50">
        <f>AA12*F12</f>
        <v>0</v>
      </c>
      <c r="AC12" s="51">
        <f t="shared" ref="AC12:AD12" si="23">CO12</f>
        <v>0</v>
      </c>
      <c r="AD12" s="52">
        <f t="shared" si="23"/>
        <v>0</v>
      </c>
      <c r="AE12" s="56"/>
      <c r="AF12" s="50">
        <f>AE12*F12</f>
        <v>0</v>
      </c>
      <c r="AG12" s="51">
        <f t="shared" ref="AG12:AH12" si="24">CO12</f>
        <v>0</v>
      </c>
      <c r="AH12" s="52">
        <f t="shared" si="24"/>
        <v>0</v>
      </c>
      <c r="AI12" s="57"/>
      <c r="AJ12" s="54">
        <f>AI12*F12</f>
        <v>0</v>
      </c>
      <c r="AK12" s="56"/>
      <c r="AL12" s="50">
        <f>AK12*F12</f>
        <v>0</v>
      </c>
      <c r="AM12" s="51">
        <f t="shared" ref="AM12:AN12" si="25">CO12</f>
        <v>0</v>
      </c>
      <c r="AN12" s="52">
        <f t="shared" si="25"/>
        <v>0</v>
      </c>
      <c r="AO12" s="53"/>
      <c r="AP12" s="54">
        <f>AO12*F12</f>
        <v>0</v>
      </c>
      <c r="AQ12" s="51">
        <f t="shared" ref="AQ12:AR12" si="26">CO12</f>
        <v>0</v>
      </c>
      <c r="AR12" s="52">
        <f t="shared" si="26"/>
        <v>0</v>
      </c>
      <c r="AS12" s="56"/>
      <c r="AT12" s="58">
        <f>AS12*F12</f>
        <v>0</v>
      </c>
      <c r="AU12" s="51">
        <f t="shared" ref="AU12:AV12" si="27">CO12</f>
        <v>0</v>
      </c>
      <c r="AV12" s="52">
        <f t="shared" si="27"/>
        <v>0</v>
      </c>
      <c r="AW12" s="56"/>
      <c r="AX12" s="50">
        <f>AW12*F12</f>
        <v>0</v>
      </c>
      <c r="AY12" s="51">
        <f t="shared" ref="AY12:AZ12" si="28">CO12</f>
        <v>0</v>
      </c>
      <c r="AZ12" s="52">
        <f t="shared" si="28"/>
        <v>0</v>
      </c>
      <c r="BA12" s="56"/>
      <c r="BB12" s="50">
        <f>BA12*F12</f>
        <v>0</v>
      </c>
      <c r="BC12" s="51">
        <f t="shared" ref="BC12:BD12" si="29">CO12</f>
        <v>0</v>
      </c>
      <c r="BD12" s="52">
        <f t="shared" si="29"/>
        <v>0</v>
      </c>
      <c r="BE12" s="49"/>
      <c r="BF12" s="50">
        <f>BE12*F12</f>
        <v>0</v>
      </c>
      <c r="BG12" s="51">
        <f t="shared" ref="BG12:BH12" si="30">CO12</f>
        <v>0</v>
      </c>
      <c r="BH12" s="52">
        <f t="shared" si="30"/>
        <v>0</v>
      </c>
      <c r="BI12" s="59"/>
      <c r="BJ12" s="54">
        <f>BI12*F12</f>
        <v>0</v>
      </c>
      <c r="BK12" s="51">
        <f t="shared" ref="BK12:BL12" si="31">CO12</f>
        <v>0</v>
      </c>
      <c r="BL12" s="52">
        <f t="shared" si="31"/>
        <v>0</v>
      </c>
      <c r="BM12" s="49"/>
      <c r="BN12" s="50">
        <f>BM12*F12</f>
        <v>0</v>
      </c>
      <c r="BO12" s="51">
        <f t="shared" ref="BO12:BP12" si="32">CO12</f>
        <v>0</v>
      </c>
      <c r="BP12" s="52">
        <f t="shared" si="32"/>
        <v>0</v>
      </c>
      <c r="BQ12" s="60"/>
      <c r="BR12" s="50">
        <f>BQ12*F12</f>
        <v>0</v>
      </c>
      <c r="BS12" s="51">
        <f t="shared" ref="BS12:BT12" si="33">CO12</f>
        <v>0</v>
      </c>
      <c r="BT12" s="52">
        <f t="shared" si="33"/>
        <v>0</v>
      </c>
      <c r="BU12" s="61"/>
      <c r="BV12" s="54">
        <f>BU12*F12</f>
        <v>0</v>
      </c>
      <c r="BW12" s="51">
        <f t="shared" ref="BW12:BX12" si="34">CO12</f>
        <v>0</v>
      </c>
      <c r="BX12" s="52">
        <f t="shared" si="34"/>
        <v>0</v>
      </c>
      <c r="BY12" s="53"/>
      <c r="BZ12" s="54">
        <f>BY12*F12</f>
        <v>0</v>
      </c>
      <c r="CA12" s="51">
        <f t="shared" ref="CA12:CB12" si="35">CO12</f>
        <v>0</v>
      </c>
      <c r="CB12" s="52">
        <f t="shared" si="35"/>
        <v>0</v>
      </c>
      <c r="CC12" s="56"/>
      <c r="CD12" s="50">
        <f>CC12*F12</f>
        <v>0</v>
      </c>
      <c r="CE12" s="51">
        <f t="shared" ref="CE12:CF12" si="36">CO12</f>
        <v>0</v>
      </c>
      <c r="CF12" s="52">
        <f t="shared" si="36"/>
        <v>0</v>
      </c>
      <c r="CG12" s="56"/>
      <c r="CH12" s="50">
        <f>CG12*F12</f>
        <v>0</v>
      </c>
      <c r="CI12" s="62">
        <f t="shared" ref="CI12:CJ12" si="37">CO12</f>
        <v>0</v>
      </c>
      <c r="CJ12" s="52">
        <f t="shared" si="37"/>
        <v>0</v>
      </c>
      <c r="CK12" s="63"/>
      <c r="CL12" s="50">
        <f>CK12*F12</f>
        <v>0</v>
      </c>
      <c r="CM12" s="64"/>
      <c r="CN12" s="67"/>
      <c r="CO12" s="68"/>
      <c r="CP12" s="69"/>
      <c r="CQ12" s="70"/>
      <c r="CR12" s="70"/>
      <c r="CS12" s="70"/>
      <c r="CT12" s="70"/>
      <c r="CU12" s="70"/>
      <c r="CV12" s="70"/>
      <c r="CW12" s="70"/>
      <c r="CX12" s="70"/>
      <c r="CY12" s="70"/>
      <c r="CZ12" s="70"/>
      <c r="DA12" s="70"/>
      <c r="DB12" s="70"/>
      <c r="DC12" s="70"/>
      <c r="DD12" s="70"/>
      <c r="DE12" s="70"/>
      <c r="DF12" s="70"/>
      <c r="DG12" s="70"/>
      <c r="DH12" s="70"/>
      <c r="DI12" s="70"/>
      <c r="DJ12" s="70"/>
      <c r="DK12" s="70"/>
    </row>
    <row r="13" spans="1:115" ht="13.5" customHeight="1" x14ac:dyDescent="0.3">
      <c r="A13" s="71"/>
      <c r="B13" s="188"/>
      <c r="C13" s="72"/>
      <c r="D13" s="73"/>
      <c r="E13" s="73"/>
      <c r="F13" s="73"/>
      <c r="G13" s="28"/>
      <c r="H13" s="72"/>
      <c r="I13" s="202"/>
      <c r="J13" s="48" t="s">
        <v>25</v>
      </c>
      <c r="K13" s="75"/>
      <c r="L13" s="75"/>
      <c r="M13" s="76"/>
      <c r="N13" s="77"/>
      <c r="O13" s="78"/>
      <c r="P13" s="78"/>
      <c r="Q13" s="76"/>
      <c r="R13" s="77"/>
      <c r="S13" s="78"/>
      <c r="T13" s="78"/>
      <c r="U13" s="76"/>
      <c r="V13" s="77"/>
      <c r="W13" s="75"/>
      <c r="X13" s="75"/>
      <c r="Y13" s="76"/>
      <c r="Z13" s="77"/>
      <c r="AA13" s="75"/>
      <c r="AB13" s="75"/>
      <c r="AC13" s="79"/>
      <c r="AD13" s="80"/>
      <c r="AE13" s="75"/>
      <c r="AF13" s="75"/>
      <c r="AG13" s="79"/>
      <c r="AH13" s="77"/>
      <c r="AI13" s="81"/>
      <c r="AJ13" s="78"/>
      <c r="AK13" s="75"/>
      <c r="AL13" s="75"/>
      <c r="AM13" s="76"/>
      <c r="AN13" s="77"/>
      <c r="AO13" s="78"/>
      <c r="AP13" s="78"/>
      <c r="AQ13" s="76"/>
      <c r="AR13" s="77"/>
      <c r="AS13" s="75"/>
      <c r="AT13" s="75"/>
      <c r="AU13" s="76"/>
      <c r="AV13" s="77"/>
      <c r="AW13" s="75"/>
      <c r="AX13" s="75"/>
      <c r="AY13" s="76"/>
      <c r="AZ13" s="77"/>
      <c r="BA13" s="75"/>
      <c r="BB13" s="75"/>
      <c r="BC13" s="76"/>
      <c r="BD13" s="77"/>
      <c r="BE13" s="75"/>
      <c r="BF13" s="75"/>
      <c r="BG13" s="76"/>
      <c r="BH13" s="77"/>
      <c r="BI13" s="81"/>
      <c r="BJ13" s="78"/>
      <c r="BK13" s="76"/>
      <c r="BL13" s="77"/>
      <c r="BM13" s="75"/>
      <c r="BN13" s="75"/>
      <c r="BO13" s="76"/>
      <c r="BP13" s="77"/>
      <c r="BQ13" s="82"/>
      <c r="BR13" s="75"/>
      <c r="BS13" s="76"/>
      <c r="BT13" s="77"/>
      <c r="BU13" s="78"/>
      <c r="BV13" s="78"/>
      <c r="BW13" s="79"/>
      <c r="BX13" s="77"/>
      <c r="BY13" s="78"/>
      <c r="BZ13" s="78"/>
      <c r="CA13" s="76"/>
      <c r="CB13" s="77"/>
      <c r="CC13" s="75"/>
      <c r="CD13" s="75"/>
      <c r="CE13" s="79"/>
      <c r="CF13" s="77"/>
      <c r="CG13" s="75"/>
      <c r="CH13" s="75"/>
      <c r="CI13" s="83"/>
      <c r="CJ13" s="77"/>
      <c r="CK13" s="84"/>
      <c r="CL13" s="75"/>
      <c r="CM13" s="85"/>
      <c r="CN13" s="86"/>
      <c r="CO13" s="87"/>
      <c r="CP13" s="88"/>
      <c r="CQ13" s="70"/>
      <c r="CR13" s="70"/>
      <c r="CS13" s="70"/>
      <c r="CT13" s="70"/>
      <c r="CU13" s="70"/>
      <c r="CV13" s="70"/>
      <c r="CW13" s="70"/>
      <c r="CX13" s="70"/>
      <c r="CY13" s="70"/>
      <c r="CZ13" s="70"/>
      <c r="DA13" s="70"/>
      <c r="DB13" s="70"/>
      <c r="DC13" s="70"/>
      <c r="DD13" s="70"/>
      <c r="DE13" s="70"/>
      <c r="DF13" s="70"/>
      <c r="DG13" s="70"/>
      <c r="DH13" s="70"/>
      <c r="DI13" s="70"/>
      <c r="DJ13" s="70"/>
      <c r="DK13" s="78"/>
    </row>
    <row r="14" spans="1:115" ht="13.5" customHeight="1" x14ac:dyDescent="0.3">
      <c r="A14" s="44"/>
      <c r="B14" s="187">
        <v>2</v>
      </c>
      <c r="C14" s="45" t="s">
        <v>35</v>
      </c>
      <c r="D14" s="46" t="s">
        <v>36</v>
      </c>
      <c r="E14" s="46"/>
      <c r="F14" s="46">
        <v>120</v>
      </c>
      <c r="G14" s="47"/>
      <c r="H14" s="45">
        <v>7000</v>
      </c>
      <c r="I14" s="203">
        <v>45254</v>
      </c>
      <c r="J14" s="48" t="s">
        <v>9</v>
      </c>
      <c r="K14" s="49"/>
      <c r="L14" s="50">
        <f>K14*F14</f>
        <v>0</v>
      </c>
      <c r="M14" s="51">
        <f t="shared" ref="M14:N14" si="38">CO14</f>
        <v>7080</v>
      </c>
      <c r="N14" s="52">
        <f t="shared" si="38"/>
        <v>-80</v>
      </c>
      <c r="O14" s="53"/>
      <c r="P14" s="54">
        <f>O14*F14</f>
        <v>0</v>
      </c>
      <c r="Q14" s="51">
        <f t="shared" ref="Q14:R14" si="39">CO14</f>
        <v>7080</v>
      </c>
      <c r="R14" s="52">
        <f t="shared" si="39"/>
        <v>-80</v>
      </c>
      <c r="S14" s="53"/>
      <c r="T14" s="54">
        <f>S14*F14</f>
        <v>0</v>
      </c>
      <c r="U14" s="51">
        <f t="shared" ref="U14:V14" si="40">CO14</f>
        <v>7080</v>
      </c>
      <c r="V14" s="52">
        <f t="shared" si="40"/>
        <v>-80</v>
      </c>
      <c r="W14" s="55"/>
      <c r="X14" s="50">
        <f>W14*F14</f>
        <v>0</v>
      </c>
      <c r="Y14" s="51">
        <f t="shared" ref="Y14:Z14" si="41">CO14</f>
        <v>7080</v>
      </c>
      <c r="Z14" s="52">
        <f t="shared" si="41"/>
        <v>-80</v>
      </c>
      <c r="AA14" s="56"/>
      <c r="AB14" s="50">
        <f>AA14*F14</f>
        <v>0</v>
      </c>
      <c r="AC14" s="51">
        <f t="shared" ref="AC14:AD14" si="42">CO14</f>
        <v>7080</v>
      </c>
      <c r="AD14" s="52">
        <f t="shared" si="42"/>
        <v>-80</v>
      </c>
      <c r="AE14" s="56"/>
      <c r="AF14" s="50">
        <f>AE14*F14</f>
        <v>0</v>
      </c>
      <c r="AG14" s="51">
        <f t="shared" ref="AG14:AH14" si="43">CO14</f>
        <v>7080</v>
      </c>
      <c r="AH14" s="52">
        <f t="shared" si="43"/>
        <v>-80</v>
      </c>
      <c r="AI14" s="57"/>
      <c r="AJ14" s="54">
        <f>AI14*F14</f>
        <v>0</v>
      </c>
      <c r="AK14" s="56">
        <f>24-17-2-2-3</f>
        <v>0</v>
      </c>
      <c r="AL14" s="50">
        <f>AK14*F14</f>
        <v>0</v>
      </c>
      <c r="AM14" s="51">
        <f t="shared" ref="AM14:AN14" si="44">CO14</f>
        <v>7080</v>
      </c>
      <c r="AN14" s="52">
        <f t="shared" si="44"/>
        <v>-80</v>
      </c>
      <c r="AO14" s="53">
        <v>23</v>
      </c>
      <c r="AP14" s="54">
        <f>AO14*F14</f>
        <v>2760</v>
      </c>
      <c r="AQ14" s="51">
        <f t="shared" ref="AQ14:AR14" si="45">CO14</f>
        <v>7080</v>
      </c>
      <c r="AR14" s="52">
        <f t="shared" si="45"/>
        <v>-80</v>
      </c>
      <c r="AS14" s="56">
        <v>24</v>
      </c>
      <c r="AT14" s="58">
        <f>AS14*F14</f>
        <v>2880</v>
      </c>
      <c r="AU14" s="51">
        <f t="shared" ref="AU14:AV14" si="46">CO14</f>
        <v>7080</v>
      </c>
      <c r="AV14" s="52">
        <f t="shared" si="46"/>
        <v>-80</v>
      </c>
      <c r="AW14" s="56">
        <v>12</v>
      </c>
      <c r="AX14" s="50">
        <f>AW14*F14</f>
        <v>1440</v>
      </c>
      <c r="AY14" s="51">
        <f t="shared" ref="AY14:AZ14" si="47">CO14</f>
        <v>7080</v>
      </c>
      <c r="AZ14" s="52">
        <f t="shared" si="47"/>
        <v>-80</v>
      </c>
      <c r="BA14" s="56"/>
      <c r="BB14" s="50">
        <f>BA14*F14</f>
        <v>0</v>
      </c>
      <c r="BC14" s="51">
        <f t="shared" ref="BC14:BD14" si="48">CO14</f>
        <v>7080</v>
      </c>
      <c r="BD14" s="52">
        <f t="shared" si="48"/>
        <v>-80</v>
      </c>
      <c r="BE14" s="49"/>
      <c r="BF14" s="50">
        <f>BE14*F14</f>
        <v>0</v>
      </c>
      <c r="BG14" s="51">
        <f t="shared" ref="BG14:BH14" si="49">CO14</f>
        <v>7080</v>
      </c>
      <c r="BH14" s="52">
        <f t="shared" si="49"/>
        <v>-80</v>
      </c>
      <c r="BI14" s="59"/>
      <c r="BJ14" s="54">
        <f>BI14*F14</f>
        <v>0</v>
      </c>
      <c r="BK14" s="51">
        <f t="shared" ref="BK14:BL14" si="50">CO14</f>
        <v>7080</v>
      </c>
      <c r="BL14" s="52">
        <f t="shared" si="50"/>
        <v>-80</v>
      </c>
      <c r="BM14" s="49"/>
      <c r="BN14" s="50">
        <f>BM14*F14</f>
        <v>0</v>
      </c>
      <c r="BO14" s="51">
        <f t="shared" ref="BO14:BP14" si="51">CO14</f>
        <v>7080</v>
      </c>
      <c r="BP14" s="52">
        <f t="shared" si="51"/>
        <v>-80</v>
      </c>
      <c r="BQ14" s="60"/>
      <c r="BR14" s="50">
        <f>BQ14*F14</f>
        <v>0</v>
      </c>
      <c r="BS14" s="51">
        <f t="shared" ref="BS14:BT14" si="52">CO14</f>
        <v>7080</v>
      </c>
      <c r="BT14" s="52">
        <f t="shared" si="52"/>
        <v>-80</v>
      </c>
      <c r="BU14" s="61"/>
      <c r="BV14" s="54">
        <f>BU14*F14</f>
        <v>0</v>
      </c>
      <c r="BW14" s="51">
        <f t="shared" ref="BW14:BX14" si="53">CO14</f>
        <v>7080</v>
      </c>
      <c r="BX14" s="52">
        <f t="shared" si="53"/>
        <v>-80</v>
      </c>
      <c r="BY14" s="53"/>
      <c r="BZ14" s="54">
        <f>BY14*F14</f>
        <v>0</v>
      </c>
      <c r="CA14" s="51">
        <f t="shared" ref="CA14:CB14" si="54">CO14</f>
        <v>7080</v>
      </c>
      <c r="CB14" s="52">
        <f t="shared" si="54"/>
        <v>-80</v>
      </c>
      <c r="CC14" s="56"/>
      <c r="CD14" s="50">
        <f>CC14*F14</f>
        <v>0</v>
      </c>
      <c r="CE14" s="51">
        <f t="shared" ref="CE14:CF14" si="55">CO14</f>
        <v>7080</v>
      </c>
      <c r="CF14" s="52">
        <f t="shared" si="55"/>
        <v>-80</v>
      </c>
      <c r="CG14" s="56"/>
      <c r="CH14" s="50">
        <f>CG14*F14</f>
        <v>0</v>
      </c>
      <c r="CI14" s="62">
        <f t="shared" ref="CI14:CJ14" si="56">CO14</f>
        <v>7080</v>
      </c>
      <c r="CJ14" s="52">
        <f t="shared" si="56"/>
        <v>-80</v>
      </c>
      <c r="CK14" s="63"/>
      <c r="CL14" s="50">
        <f>CK14*F14</f>
        <v>0</v>
      </c>
      <c r="CM14" s="64"/>
      <c r="CN14" s="67">
        <f>K14+O14+S14+W14+AA14+AE14+AI14+AK14+AO14+AS14+AW14+BA14+BE14+BI14+BM14+BQ14+BU14+BY14+CC14+CG14+CK14</f>
        <v>59</v>
      </c>
      <c r="CO14" s="68">
        <f>L14+P14+T14+X14+AB14+AF14+AJ14+AL14+AP14+AT14+AX14+BB14+BF14+BJ14+BN14+BR14+BV14+BZ14+CD14+CH14+CL14</f>
        <v>7080</v>
      </c>
      <c r="CP14" s="169">
        <f>H14-CO14</f>
        <v>-80</v>
      </c>
      <c r="CQ14" s="170" t="s">
        <v>61</v>
      </c>
      <c r="CR14" s="70"/>
      <c r="CS14" s="70"/>
      <c r="CT14" s="70"/>
      <c r="CU14" s="70"/>
      <c r="CV14" s="70"/>
      <c r="CW14" s="70"/>
      <c r="CX14" s="70"/>
      <c r="CY14" s="70"/>
      <c r="CZ14" s="70"/>
      <c r="DA14" s="70"/>
      <c r="DB14" s="70"/>
      <c r="DC14" s="70"/>
      <c r="DD14" s="70"/>
      <c r="DE14" s="70"/>
      <c r="DF14" s="70"/>
      <c r="DG14" s="70"/>
      <c r="DH14" s="70"/>
      <c r="DI14" s="70"/>
      <c r="DJ14" s="70"/>
      <c r="DK14" s="70"/>
    </row>
    <row r="15" spans="1:115" ht="13.5" customHeight="1" x14ac:dyDescent="0.3">
      <c r="A15" s="71"/>
      <c r="B15" s="188"/>
      <c r="C15" s="142"/>
      <c r="D15" s="142"/>
      <c r="E15" s="73"/>
      <c r="F15" s="89"/>
      <c r="G15" s="28"/>
      <c r="H15" s="72"/>
      <c r="I15" s="202"/>
      <c r="J15" s="48" t="s">
        <v>25</v>
      </c>
      <c r="K15" s="75"/>
      <c r="L15" s="75"/>
      <c r="M15" s="76"/>
      <c r="N15" s="77"/>
      <c r="O15" s="78"/>
      <c r="P15" s="78"/>
      <c r="Q15" s="76"/>
      <c r="R15" s="77"/>
      <c r="S15" s="78"/>
      <c r="T15" s="78"/>
      <c r="U15" s="76"/>
      <c r="V15" s="77"/>
      <c r="W15" s="75"/>
      <c r="X15" s="75"/>
      <c r="Y15" s="76"/>
      <c r="Z15" s="77"/>
      <c r="AA15" s="75"/>
      <c r="AB15" s="75"/>
      <c r="AC15" s="79"/>
      <c r="AD15" s="80"/>
      <c r="AE15" s="75"/>
      <c r="AF15" s="75"/>
      <c r="AG15" s="79"/>
      <c r="AH15" s="77"/>
      <c r="AI15" s="81"/>
      <c r="AJ15" s="78"/>
      <c r="AK15" s="75"/>
      <c r="AL15" s="75"/>
      <c r="AM15" s="76"/>
      <c r="AN15" s="77"/>
      <c r="AO15" s="78"/>
      <c r="AP15" s="78"/>
      <c r="AQ15" s="76"/>
      <c r="AR15" s="77"/>
      <c r="AS15" s="75"/>
      <c r="AT15" s="75"/>
      <c r="AU15" s="76"/>
      <c r="AV15" s="77"/>
      <c r="AW15" s="75"/>
      <c r="AX15" s="75"/>
      <c r="AY15" s="76"/>
      <c r="AZ15" s="77"/>
      <c r="BA15" s="75"/>
      <c r="BB15" s="75"/>
      <c r="BC15" s="76"/>
      <c r="BD15" s="77"/>
      <c r="BE15" s="75"/>
      <c r="BF15" s="75"/>
      <c r="BG15" s="76"/>
      <c r="BH15" s="77"/>
      <c r="BI15" s="81"/>
      <c r="BJ15" s="78"/>
      <c r="BK15" s="76"/>
      <c r="BL15" s="77"/>
      <c r="BM15" s="75"/>
      <c r="BN15" s="75"/>
      <c r="BO15" s="76"/>
      <c r="BP15" s="77"/>
      <c r="BQ15" s="82"/>
      <c r="BR15" s="75"/>
      <c r="BS15" s="76"/>
      <c r="BT15" s="77"/>
      <c r="BU15" s="78"/>
      <c r="BV15" s="78"/>
      <c r="BW15" s="79"/>
      <c r="BX15" s="77"/>
      <c r="BY15" s="78"/>
      <c r="BZ15" s="78"/>
      <c r="CA15" s="76"/>
      <c r="CB15" s="77"/>
      <c r="CC15" s="75"/>
      <c r="CD15" s="75"/>
      <c r="CE15" s="79"/>
      <c r="CF15" s="77"/>
      <c r="CG15" s="75"/>
      <c r="CH15" s="75"/>
      <c r="CI15" s="83"/>
      <c r="CJ15" s="77"/>
      <c r="CK15" s="84"/>
      <c r="CL15" s="75"/>
      <c r="CM15" s="85"/>
      <c r="CN15" s="86"/>
      <c r="CO15" s="87"/>
      <c r="CP15" s="88"/>
      <c r="CQ15" s="70"/>
      <c r="CR15" s="70"/>
      <c r="CS15" s="70"/>
      <c r="CT15" s="70"/>
      <c r="CU15" s="70"/>
      <c r="CV15" s="70"/>
      <c r="CW15" s="70"/>
      <c r="CX15" s="70"/>
      <c r="CY15" s="70"/>
      <c r="CZ15" s="70"/>
      <c r="DA15" s="70"/>
      <c r="DB15" s="70"/>
      <c r="DC15" s="70"/>
      <c r="DD15" s="70"/>
      <c r="DE15" s="70"/>
      <c r="DF15" s="70"/>
      <c r="DG15" s="70"/>
      <c r="DH15" s="70"/>
      <c r="DI15" s="70"/>
      <c r="DJ15" s="70"/>
      <c r="DK15" s="78"/>
    </row>
    <row r="16" spans="1:115" ht="13.5" customHeight="1" x14ac:dyDescent="0.3">
      <c r="A16" s="44"/>
      <c r="B16" s="187">
        <v>1</v>
      </c>
      <c r="C16" s="45" t="s">
        <v>37</v>
      </c>
      <c r="D16" s="46" t="s">
        <v>38</v>
      </c>
      <c r="E16" s="46"/>
      <c r="F16" s="73">
        <v>130</v>
      </c>
      <c r="G16" s="47"/>
      <c r="H16" s="45">
        <v>20000</v>
      </c>
      <c r="I16" s="198" t="s">
        <v>39</v>
      </c>
      <c r="J16" s="48" t="s">
        <v>9</v>
      </c>
      <c r="K16" s="49">
        <v>22</v>
      </c>
      <c r="L16" s="50">
        <f>K16*F16</f>
        <v>2860</v>
      </c>
      <c r="M16" s="51">
        <f t="shared" ref="M16:N16" si="57">CO16</f>
        <v>20020</v>
      </c>
      <c r="N16" s="52">
        <f t="shared" si="57"/>
        <v>-20</v>
      </c>
      <c r="O16" s="53">
        <v>24</v>
      </c>
      <c r="P16" s="54">
        <f>O16*F16</f>
        <v>3120</v>
      </c>
      <c r="Q16" s="51">
        <f t="shared" ref="Q16:R16" si="58">CO16</f>
        <v>20020</v>
      </c>
      <c r="R16" s="52">
        <f t="shared" si="58"/>
        <v>-20</v>
      </c>
      <c r="S16" s="53">
        <v>24</v>
      </c>
      <c r="T16" s="54">
        <f>S16*F16</f>
        <v>3120</v>
      </c>
      <c r="U16" s="51">
        <f t="shared" ref="U16:V16" si="59">CO16</f>
        <v>20020</v>
      </c>
      <c r="V16" s="52">
        <f t="shared" si="59"/>
        <v>-20</v>
      </c>
      <c r="W16" s="55">
        <v>24</v>
      </c>
      <c r="X16" s="50">
        <f>W16*F16</f>
        <v>3120</v>
      </c>
      <c r="Y16" s="51">
        <f t="shared" ref="Y16:Z16" si="60">CO16</f>
        <v>20020</v>
      </c>
      <c r="Z16" s="52">
        <f t="shared" si="60"/>
        <v>-20</v>
      </c>
      <c r="AA16" s="56">
        <v>24</v>
      </c>
      <c r="AB16" s="50">
        <f>AA16*F16</f>
        <v>3120</v>
      </c>
      <c r="AC16" s="51">
        <f t="shared" ref="AC16:AD16" si="61">CO16</f>
        <v>20020</v>
      </c>
      <c r="AD16" s="52">
        <f t="shared" si="61"/>
        <v>-20</v>
      </c>
      <c r="AE16" s="56">
        <f>24-5</f>
        <v>19</v>
      </c>
      <c r="AF16" s="50">
        <f>AE16*F16</f>
        <v>2470</v>
      </c>
      <c r="AG16" s="51">
        <f t="shared" ref="AG16:AH16" si="62">CO16</f>
        <v>20020</v>
      </c>
      <c r="AH16" s="52">
        <f t="shared" si="62"/>
        <v>-20</v>
      </c>
      <c r="AI16" s="57"/>
      <c r="AJ16" s="54">
        <f>AI16*F16</f>
        <v>0</v>
      </c>
      <c r="AK16" s="56">
        <v>17</v>
      </c>
      <c r="AL16" s="50">
        <f>AK16*F16</f>
        <v>2210</v>
      </c>
      <c r="AM16" s="51">
        <f t="shared" ref="AM16:AN16" si="63">CO16</f>
        <v>20020</v>
      </c>
      <c r="AN16" s="52">
        <f t="shared" si="63"/>
        <v>-20</v>
      </c>
      <c r="AO16" s="53"/>
      <c r="AP16" s="54">
        <f>AO16*F16</f>
        <v>0</v>
      </c>
      <c r="AQ16" s="51">
        <f t="shared" ref="AQ16:AR16" si="64">CO16</f>
        <v>20020</v>
      </c>
      <c r="AR16" s="52">
        <f t="shared" si="64"/>
        <v>-20</v>
      </c>
      <c r="AS16" s="56"/>
      <c r="AT16" s="58">
        <f>AS16*F16</f>
        <v>0</v>
      </c>
      <c r="AU16" s="51">
        <f t="shared" ref="AU16:AV16" si="65">CO16</f>
        <v>20020</v>
      </c>
      <c r="AV16" s="52">
        <f t="shared" si="65"/>
        <v>-20</v>
      </c>
      <c r="AW16" s="56"/>
      <c r="AX16" s="50">
        <f>AW16*F16</f>
        <v>0</v>
      </c>
      <c r="AY16" s="51">
        <f t="shared" ref="AY16:AZ16" si="66">CO16</f>
        <v>20020</v>
      </c>
      <c r="AZ16" s="52">
        <f t="shared" si="66"/>
        <v>-20</v>
      </c>
      <c r="BA16" s="56"/>
      <c r="BB16" s="50">
        <f>BA16*F16</f>
        <v>0</v>
      </c>
      <c r="BC16" s="51">
        <f t="shared" ref="BC16:BD16" si="67">CO16</f>
        <v>20020</v>
      </c>
      <c r="BD16" s="52">
        <f t="shared" si="67"/>
        <v>-20</v>
      </c>
      <c r="BE16" s="49"/>
      <c r="BF16" s="50">
        <f>BE16*F16</f>
        <v>0</v>
      </c>
      <c r="BG16" s="51">
        <f t="shared" ref="BG16:BH16" si="68">CO16</f>
        <v>20020</v>
      </c>
      <c r="BH16" s="52">
        <f t="shared" si="68"/>
        <v>-20</v>
      </c>
      <c r="BI16" s="59"/>
      <c r="BJ16" s="54">
        <f>BI16*F16</f>
        <v>0</v>
      </c>
      <c r="BK16" s="51">
        <f t="shared" ref="BK16:BL16" si="69">CO16</f>
        <v>20020</v>
      </c>
      <c r="BL16" s="52">
        <f t="shared" si="69"/>
        <v>-20</v>
      </c>
      <c r="BM16" s="49"/>
      <c r="BN16" s="50">
        <f>BM16*F16</f>
        <v>0</v>
      </c>
      <c r="BO16" s="51">
        <f t="shared" ref="BO16:BP16" si="70">CO16</f>
        <v>20020</v>
      </c>
      <c r="BP16" s="52">
        <f t="shared" si="70"/>
        <v>-20</v>
      </c>
      <c r="BQ16" s="60"/>
      <c r="BR16" s="50">
        <f>BQ16*F16</f>
        <v>0</v>
      </c>
      <c r="BS16" s="51">
        <f t="shared" ref="BS16:BT16" si="71">CO16</f>
        <v>20020</v>
      </c>
      <c r="BT16" s="52">
        <f t="shared" si="71"/>
        <v>-20</v>
      </c>
      <c r="BU16" s="61"/>
      <c r="BV16" s="54">
        <f>BU16*F16</f>
        <v>0</v>
      </c>
      <c r="BW16" s="51">
        <f t="shared" ref="BW16:BX16" si="72">CO16</f>
        <v>20020</v>
      </c>
      <c r="BX16" s="52">
        <f t="shared" si="72"/>
        <v>-20</v>
      </c>
      <c r="BY16" s="53"/>
      <c r="BZ16" s="54">
        <f>BY16*F16</f>
        <v>0</v>
      </c>
      <c r="CA16" s="51">
        <f t="shared" ref="CA16:CB16" si="73">CO16</f>
        <v>20020</v>
      </c>
      <c r="CB16" s="52">
        <f t="shared" si="73"/>
        <v>-20</v>
      </c>
      <c r="CC16" s="56"/>
      <c r="CD16" s="50">
        <f>CC16*F16</f>
        <v>0</v>
      </c>
      <c r="CE16" s="51">
        <f t="shared" ref="CE16:CF16" si="74">CO16</f>
        <v>20020</v>
      </c>
      <c r="CF16" s="52">
        <f t="shared" si="74"/>
        <v>-20</v>
      </c>
      <c r="CG16" s="56"/>
      <c r="CH16" s="50">
        <f>CG16*F16</f>
        <v>0</v>
      </c>
      <c r="CI16" s="62">
        <f t="shared" ref="CI16:CJ16" si="75">CO16</f>
        <v>20020</v>
      </c>
      <c r="CJ16" s="52">
        <f t="shared" si="75"/>
        <v>-20</v>
      </c>
      <c r="CK16" s="63"/>
      <c r="CL16" s="50">
        <f>CK16*F16</f>
        <v>0</v>
      </c>
      <c r="CM16" s="64"/>
      <c r="CN16" s="67">
        <f>K16+O16+S16+W16+AA16+AE16+AI16+AK16+AO16+AS16+AW16+BA16+BE16+BI16+BM16+BQ16+BU16+BY16+CC16+CG16+CK16</f>
        <v>154</v>
      </c>
      <c r="CO16" s="68">
        <f>L16+P16+T16+X16+AB16+AF16+AJ16+AL16+AP16+AT16+AX16+BB16+BF16+BJ16+BN16+BR16+BV16+BZ16+CD16+CH16+CL16</f>
        <v>20020</v>
      </c>
      <c r="CP16" s="169">
        <f>H16-CO16</f>
        <v>-20</v>
      </c>
      <c r="CQ16" s="170" t="s">
        <v>62</v>
      </c>
      <c r="CR16" s="70"/>
      <c r="CS16" s="70"/>
      <c r="CT16" s="70"/>
      <c r="CU16" s="70"/>
      <c r="CV16" s="70"/>
      <c r="CW16" s="70"/>
      <c r="CX16" s="70"/>
      <c r="CY16" s="70"/>
      <c r="CZ16" s="70"/>
      <c r="DA16" s="70"/>
      <c r="DB16" s="70"/>
      <c r="DC16" s="70"/>
      <c r="DD16" s="70"/>
      <c r="DE16" s="70"/>
      <c r="DF16" s="70"/>
      <c r="DG16" s="70"/>
      <c r="DH16" s="70"/>
      <c r="DI16" s="70"/>
      <c r="DJ16" s="70"/>
      <c r="DK16" s="70"/>
    </row>
    <row r="17" spans="1:115" ht="27.75" customHeight="1" x14ac:dyDescent="0.3">
      <c r="A17" s="71"/>
      <c r="B17" s="188"/>
      <c r="C17" s="72"/>
      <c r="D17" s="73"/>
      <c r="E17" s="73"/>
      <c r="F17" s="73"/>
      <c r="G17" s="28"/>
      <c r="H17" s="72"/>
      <c r="I17" s="199"/>
      <c r="J17" s="48" t="s">
        <v>25</v>
      </c>
      <c r="K17" s="75"/>
      <c r="L17" s="75"/>
      <c r="M17" s="76"/>
      <c r="N17" s="77"/>
      <c r="O17" s="78"/>
      <c r="P17" s="78"/>
      <c r="Q17" s="76"/>
      <c r="R17" s="77"/>
      <c r="S17" s="78"/>
      <c r="T17" s="78"/>
      <c r="U17" s="76"/>
      <c r="V17" s="77"/>
      <c r="W17" s="75"/>
      <c r="X17" s="75"/>
      <c r="Y17" s="76"/>
      <c r="Z17" s="77"/>
      <c r="AA17" s="75"/>
      <c r="AB17" s="75"/>
      <c r="AC17" s="79"/>
      <c r="AD17" s="80"/>
      <c r="AE17" s="75"/>
      <c r="AF17" s="75"/>
      <c r="AG17" s="79"/>
      <c r="AH17" s="77"/>
      <c r="AI17" s="81"/>
      <c r="AJ17" s="78"/>
      <c r="AK17" s="75"/>
      <c r="AL17" s="75"/>
      <c r="AM17" s="76"/>
      <c r="AN17" s="77"/>
      <c r="AO17" s="78"/>
      <c r="AP17" s="78"/>
      <c r="AQ17" s="76"/>
      <c r="AR17" s="77"/>
      <c r="AS17" s="75"/>
      <c r="AT17" s="75"/>
      <c r="AU17" s="76"/>
      <c r="AV17" s="77"/>
      <c r="AW17" s="75"/>
      <c r="AX17" s="75"/>
      <c r="AY17" s="76"/>
      <c r="AZ17" s="77"/>
      <c r="BA17" s="75"/>
      <c r="BB17" s="75"/>
      <c r="BC17" s="76"/>
      <c r="BD17" s="77"/>
      <c r="BE17" s="75"/>
      <c r="BF17" s="75"/>
      <c r="BG17" s="76"/>
      <c r="BH17" s="77"/>
      <c r="BI17" s="81"/>
      <c r="BJ17" s="78"/>
      <c r="BK17" s="76"/>
      <c r="BL17" s="77"/>
      <c r="BM17" s="75"/>
      <c r="BN17" s="75"/>
      <c r="BO17" s="76"/>
      <c r="BP17" s="77"/>
      <c r="BQ17" s="82"/>
      <c r="BR17" s="75"/>
      <c r="BS17" s="76"/>
      <c r="BT17" s="77"/>
      <c r="BU17" s="78"/>
      <c r="BV17" s="78"/>
      <c r="BW17" s="79"/>
      <c r="BX17" s="77"/>
      <c r="BY17" s="78"/>
      <c r="BZ17" s="78"/>
      <c r="CA17" s="76"/>
      <c r="CB17" s="77"/>
      <c r="CC17" s="75"/>
      <c r="CD17" s="75"/>
      <c r="CE17" s="79"/>
      <c r="CF17" s="77"/>
      <c r="CG17" s="75"/>
      <c r="CH17" s="75"/>
      <c r="CI17" s="83"/>
      <c r="CJ17" s="77"/>
      <c r="CK17" s="84"/>
      <c r="CL17" s="75"/>
      <c r="CM17" s="85"/>
      <c r="CN17" s="86"/>
      <c r="CO17" s="87"/>
      <c r="CP17" s="88"/>
      <c r="CQ17" s="70"/>
      <c r="CR17" s="70"/>
      <c r="CS17" s="70"/>
      <c r="CT17" s="70"/>
      <c r="CU17" s="70"/>
      <c r="CV17" s="70"/>
      <c r="CW17" s="70"/>
      <c r="CX17" s="70"/>
      <c r="CY17" s="70"/>
      <c r="CZ17" s="70"/>
      <c r="DA17" s="70"/>
      <c r="DB17" s="70"/>
      <c r="DC17" s="70"/>
      <c r="DD17" s="70"/>
      <c r="DE17" s="70"/>
      <c r="DF17" s="70"/>
      <c r="DG17" s="70"/>
      <c r="DH17" s="70"/>
      <c r="DI17" s="70"/>
      <c r="DJ17" s="70"/>
      <c r="DK17" s="78"/>
    </row>
    <row r="18" spans="1:115" ht="3.75" customHeight="1" thickBot="1" x14ac:dyDescent="0.3">
      <c r="A18" s="91"/>
      <c r="B18" s="149"/>
      <c r="C18" s="18"/>
      <c r="D18" s="19"/>
      <c r="E18" s="19"/>
      <c r="F18" s="19"/>
      <c r="G18" s="18"/>
      <c r="H18" s="18"/>
      <c r="I18" s="93"/>
      <c r="J18" s="94"/>
      <c r="K18" s="95"/>
      <c r="L18" s="95"/>
      <c r="M18" s="96"/>
      <c r="N18" s="97"/>
      <c r="O18" s="92"/>
      <c r="P18" s="92"/>
      <c r="Q18" s="96"/>
      <c r="R18" s="97"/>
      <c r="S18" s="92"/>
      <c r="T18" s="92"/>
      <c r="U18" s="96"/>
      <c r="V18" s="97"/>
      <c r="W18" s="92"/>
      <c r="X18" s="92"/>
      <c r="Y18" s="96"/>
      <c r="Z18" s="97"/>
      <c r="AA18" s="95"/>
      <c r="AB18" s="95"/>
      <c r="AC18" s="96"/>
      <c r="AD18" s="97"/>
      <c r="AE18" s="92"/>
      <c r="AF18" s="29"/>
      <c r="AG18" s="96"/>
      <c r="AH18" s="97"/>
      <c r="AI18" s="96"/>
      <c r="AJ18" s="29"/>
      <c r="AK18" s="95"/>
      <c r="AL18" s="95"/>
      <c r="AM18" s="96"/>
      <c r="AN18" s="97"/>
      <c r="AO18" s="92"/>
      <c r="AP18" s="92"/>
      <c r="AQ18" s="96"/>
      <c r="AR18" s="97"/>
      <c r="AS18" s="92"/>
      <c r="AT18" s="92"/>
      <c r="AU18" s="96"/>
      <c r="AV18" s="97"/>
      <c r="AW18" s="92"/>
      <c r="AX18" s="92"/>
      <c r="AY18" s="96"/>
      <c r="AZ18" s="97"/>
      <c r="BA18" s="95"/>
      <c r="BB18" s="95"/>
      <c r="BC18" s="96"/>
      <c r="BD18" s="97"/>
      <c r="BE18" s="92"/>
      <c r="BF18" s="29"/>
      <c r="BG18" s="96"/>
      <c r="BH18" s="97"/>
      <c r="BI18" s="96"/>
      <c r="BJ18" s="29"/>
      <c r="BK18" s="96"/>
      <c r="BL18" s="97"/>
      <c r="BM18" s="95"/>
      <c r="BN18" s="95"/>
      <c r="BO18" s="96"/>
      <c r="BP18" s="97"/>
      <c r="BQ18" s="92"/>
      <c r="BR18" s="92"/>
      <c r="BS18" s="96"/>
      <c r="BT18" s="97"/>
      <c r="BU18" s="92"/>
      <c r="BV18" s="92"/>
      <c r="BW18" s="96"/>
      <c r="BX18" s="96"/>
      <c r="BY18" s="96"/>
      <c r="BZ18" s="96"/>
      <c r="CA18" s="96"/>
      <c r="CB18" s="97"/>
      <c r="CC18" s="95"/>
      <c r="CD18" s="95"/>
      <c r="CE18" s="96"/>
      <c r="CF18" s="97"/>
      <c r="CG18" s="92"/>
      <c r="CH18" s="29"/>
      <c r="CI18" s="96"/>
      <c r="CJ18" s="97"/>
      <c r="CK18" s="98"/>
      <c r="CL18" s="92"/>
      <c r="CM18" s="99"/>
      <c r="CN18" s="100"/>
      <c r="CO18" s="101"/>
      <c r="CP18" s="69"/>
      <c r="DK18" s="92"/>
    </row>
    <row r="19" spans="1:115" ht="15.75" customHeight="1" thickBot="1" x14ac:dyDescent="0.35">
      <c r="A19" s="141" t="s">
        <v>46</v>
      </c>
      <c r="B19" s="15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2"/>
      <c r="CO19" s="42"/>
      <c r="CP19" s="43"/>
      <c r="DK19" s="40"/>
    </row>
    <row r="20" spans="1:115" ht="13.5" customHeight="1" x14ac:dyDescent="0.3">
      <c r="A20" s="44"/>
      <c r="B20" s="189">
        <v>2</v>
      </c>
      <c r="C20" s="144" t="s">
        <v>33</v>
      </c>
      <c r="D20" s="143" t="s">
        <v>42</v>
      </c>
      <c r="E20" s="46"/>
      <c r="F20" s="46">
        <v>300</v>
      </c>
      <c r="G20" s="47"/>
      <c r="H20" s="45">
        <v>45000</v>
      </c>
      <c r="I20" s="145">
        <v>45260</v>
      </c>
      <c r="J20" s="48" t="s">
        <v>9</v>
      </c>
      <c r="K20" s="66"/>
      <c r="L20" s="66"/>
      <c r="M20" s="51">
        <f t="shared" ref="M20:N20" si="76">CO20</f>
        <v>45000</v>
      </c>
      <c r="N20" s="52">
        <f t="shared" si="76"/>
        <v>0</v>
      </c>
      <c r="O20" s="53"/>
      <c r="P20" s="54">
        <f>O20*F20</f>
        <v>0</v>
      </c>
      <c r="Q20" s="51">
        <f t="shared" ref="Q20:R20" si="77">CO20</f>
        <v>45000</v>
      </c>
      <c r="R20" s="52">
        <f t="shared" si="77"/>
        <v>0</v>
      </c>
      <c r="S20" s="65"/>
      <c r="T20" s="65">
        <f>S20*F20</f>
        <v>0</v>
      </c>
      <c r="U20" s="51">
        <f t="shared" ref="U20:V20" si="78">CO20</f>
        <v>45000</v>
      </c>
      <c r="V20" s="52">
        <f t="shared" si="78"/>
        <v>0</v>
      </c>
      <c r="W20" s="55"/>
      <c r="X20" s="50">
        <f>W20*F20</f>
        <v>0</v>
      </c>
      <c r="Y20" s="51">
        <f t="shared" ref="Y20:Z20" si="79">CO20</f>
        <v>45000</v>
      </c>
      <c r="Z20" s="52">
        <f t="shared" si="79"/>
        <v>0</v>
      </c>
      <c r="AA20" s="56"/>
      <c r="AB20" s="50">
        <f>AA20*F20</f>
        <v>0</v>
      </c>
      <c r="AC20" s="51">
        <f t="shared" ref="AC20:AD20" si="80">CO20</f>
        <v>45000</v>
      </c>
      <c r="AD20" s="52">
        <f t="shared" si="80"/>
        <v>0</v>
      </c>
      <c r="AE20" s="56"/>
      <c r="AF20" s="50">
        <f>AE20*F20</f>
        <v>0</v>
      </c>
      <c r="AG20" s="51">
        <f t="shared" ref="AG20:AH20" si="81">CO20</f>
        <v>45000</v>
      </c>
      <c r="AH20" s="52">
        <f t="shared" si="81"/>
        <v>0</v>
      </c>
      <c r="AI20" s="57"/>
      <c r="AJ20" s="54">
        <f>AI20*F20</f>
        <v>0</v>
      </c>
      <c r="AK20" s="56"/>
      <c r="AL20" s="50">
        <f>AK20*F20</f>
        <v>0</v>
      </c>
      <c r="AM20" s="51">
        <f t="shared" ref="AM20:AN20" si="82">CO20</f>
        <v>45000</v>
      </c>
      <c r="AN20" s="52">
        <f t="shared" si="82"/>
        <v>0</v>
      </c>
      <c r="AO20" s="53"/>
      <c r="AP20" s="54">
        <f>AO20*F20</f>
        <v>0</v>
      </c>
      <c r="AQ20" s="51">
        <f t="shared" ref="AQ20:AR20" si="83">CO20</f>
        <v>45000</v>
      </c>
      <c r="AR20" s="52">
        <f t="shared" si="83"/>
        <v>0</v>
      </c>
      <c r="AS20" s="56">
        <f>24-17-4</f>
        <v>3</v>
      </c>
      <c r="AT20" s="58">
        <f>AS20*F20</f>
        <v>900</v>
      </c>
      <c r="AU20" s="51">
        <f t="shared" ref="AU20:AV20" si="84">CO20</f>
        <v>45000</v>
      </c>
      <c r="AV20" s="52">
        <f t="shared" si="84"/>
        <v>0</v>
      </c>
      <c r="AW20" s="56">
        <v>24</v>
      </c>
      <c r="AX20" s="50">
        <f>AW20*F20</f>
        <v>7200</v>
      </c>
      <c r="AY20" s="51">
        <f t="shared" ref="AY20:AZ20" si="85">CO20</f>
        <v>45000</v>
      </c>
      <c r="AZ20" s="52">
        <f t="shared" si="85"/>
        <v>0</v>
      </c>
      <c r="BA20" s="56">
        <v>24</v>
      </c>
      <c r="BB20" s="50">
        <f>BA20*F20</f>
        <v>7200</v>
      </c>
      <c r="BC20" s="51">
        <f t="shared" ref="BC20:BD20" si="86">CO20</f>
        <v>45000</v>
      </c>
      <c r="BD20" s="52">
        <f t="shared" si="86"/>
        <v>0</v>
      </c>
      <c r="BE20" s="49">
        <v>19</v>
      </c>
      <c r="BF20" s="50">
        <f>BE20*F20</f>
        <v>5700</v>
      </c>
      <c r="BG20" s="51">
        <f t="shared" ref="BG20:BH20" si="87">CO20</f>
        <v>45000</v>
      </c>
      <c r="BH20" s="52">
        <f t="shared" si="87"/>
        <v>0</v>
      </c>
      <c r="BI20" s="49"/>
      <c r="BJ20" s="54">
        <f>BI20*F20</f>
        <v>0</v>
      </c>
      <c r="BK20" s="51">
        <f t="shared" ref="BK20:BL20" si="88">CO20</f>
        <v>45000</v>
      </c>
      <c r="BL20" s="52">
        <f t="shared" si="88"/>
        <v>0</v>
      </c>
      <c r="BM20" s="49">
        <v>22</v>
      </c>
      <c r="BN20" s="50">
        <f>BM20*F20</f>
        <v>6600</v>
      </c>
      <c r="BO20" s="51">
        <f t="shared" ref="BO20:BP20" si="89">CO20</f>
        <v>45000</v>
      </c>
      <c r="BP20" s="52">
        <f t="shared" si="89"/>
        <v>0</v>
      </c>
      <c r="BQ20" s="49">
        <v>16</v>
      </c>
      <c r="BR20" s="50">
        <f>BQ20*F20</f>
        <v>4800</v>
      </c>
      <c r="BS20" s="51">
        <f t="shared" ref="BS20:BT20" si="90">CO20</f>
        <v>45000</v>
      </c>
      <c r="BT20" s="52">
        <f t="shared" si="90"/>
        <v>0</v>
      </c>
      <c r="BU20" s="49">
        <v>14</v>
      </c>
      <c r="BV20" s="54">
        <f>BU20*F20</f>
        <v>4200</v>
      </c>
      <c r="BW20" s="51">
        <f t="shared" ref="BW20:BX20" si="91">CO20</f>
        <v>45000</v>
      </c>
      <c r="BX20" s="52">
        <f t="shared" si="91"/>
        <v>0</v>
      </c>
      <c r="BY20" s="49">
        <v>14</v>
      </c>
      <c r="BZ20" s="54">
        <f>BY20*F20</f>
        <v>4200</v>
      </c>
      <c r="CA20" s="51">
        <f t="shared" ref="CA20:CB20" si="92">CO20</f>
        <v>45000</v>
      </c>
      <c r="CB20" s="52">
        <f t="shared" si="92"/>
        <v>0</v>
      </c>
      <c r="CC20" s="49">
        <v>14</v>
      </c>
      <c r="CD20" s="50">
        <f>CC20*F20</f>
        <v>4200</v>
      </c>
      <c r="CE20" s="51">
        <f t="shared" ref="CE20:CF20" si="93">CO20</f>
        <v>45000</v>
      </c>
      <c r="CF20" s="52">
        <f t="shared" si="93"/>
        <v>0</v>
      </c>
      <c r="CG20" s="56"/>
      <c r="CH20" s="50">
        <f>CG20*F20</f>
        <v>0</v>
      </c>
      <c r="CI20" s="62">
        <f t="shared" ref="CI20:CJ20" si="94">CO20</f>
        <v>45000</v>
      </c>
      <c r="CJ20" s="52">
        <f t="shared" si="94"/>
        <v>0</v>
      </c>
      <c r="CK20" s="63"/>
      <c r="CL20" s="50">
        <f>CK20*F20</f>
        <v>0</v>
      </c>
      <c r="CM20" s="64"/>
      <c r="CN20" s="67">
        <f>K20+O20+S20+W20+AA20+AE20+AI20+AK20+AO20+AS20+AW20+BA20+BE20+BI20+BM20+BQ20+BU20+BY20+CC20+CG20+CK20</f>
        <v>150</v>
      </c>
      <c r="CO20" s="68">
        <f>L20+P20+T20+X20+AB20+AF20+AJ20+AL20+AP20+AT20+AX20+BB20+BF20+BJ20+BN20+BR20+BV20+BZ20+CD20+CH20+CL20</f>
        <v>45000</v>
      </c>
      <c r="CP20" s="169">
        <f>H20-CO20</f>
        <v>0</v>
      </c>
      <c r="CQ20" s="70"/>
      <c r="CR20" s="70"/>
      <c r="CS20" s="70"/>
      <c r="CT20" s="70"/>
      <c r="CU20" s="70"/>
      <c r="CV20" s="70"/>
      <c r="CW20" s="70"/>
      <c r="CX20" s="70"/>
      <c r="CY20" s="70"/>
      <c r="CZ20" s="70"/>
      <c r="DA20" s="70"/>
      <c r="DB20" s="70"/>
      <c r="DC20" s="70"/>
      <c r="DD20" s="70"/>
      <c r="DE20" s="70"/>
      <c r="DF20" s="70"/>
      <c r="DG20" s="70"/>
      <c r="DH20" s="70"/>
      <c r="DI20" s="70"/>
      <c r="DJ20" s="70"/>
      <c r="DK20" s="70"/>
    </row>
    <row r="21" spans="1:115" ht="13.5" customHeight="1" x14ac:dyDescent="0.3">
      <c r="A21" s="71"/>
      <c r="B21" s="188"/>
      <c r="C21" s="72"/>
      <c r="D21" s="73"/>
      <c r="E21" s="73"/>
      <c r="F21" s="73"/>
      <c r="G21" s="28"/>
      <c r="H21" s="72"/>
      <c r="I21" s="74"/>
      <c r="J21" s="48" t="s">
        <v>25</v>
      </c>
      <c r="K21" s="75"/>
      <c r="L21" s="75"/>
      <c r="M21" s="76"/>
      <c r="N21" s="77"/>
      <c r="O21" s="78"/>
      <c r="P21" s="78"/>
      <c r="Q21" s="76"/>
      <c r="R21" s="77"/>
      <c r="S21" s="78"/>
      <c r="T21" s="78"/>
      <c r="U21" s="76"/>
      <c r="V21" s="77"/>
      <c r="W21" s="75"/>
      <c r="X21" s="75"/>
      <c r="Y21" s="76"/>
      <c r="Z21" s="77"/>
      <c r="AA21" s="75"/>
      <c r="AB21" s="75"/>
      <c r="AC21" s="79"/>
      <c r="AD21" s="80"/>
      <c r="AE21" s="75"/>
      <c r="AF21" s="75"/>
      <c r="AG21" s="79"/>
      <c r="AH21" s="77"/>
      <c r="AI21" s="81"/>
      <c r="AJ21" s="78"/>
      <c r="AK21" s="75"/>
      <c r="AL21" s="75"/>
      <c r="AM21" s="76"/>
      <c r="AN21" s="77"/>
      <c r="AO21" s="78"/>
      <c r="AP21" s="78"/>
      <c r="AQ21" s="76"/>
      <c r="AR21" s="77"/>
      <c r="AS21" s="75"/>
      <c r="AT21" s="75"/>
      <c r="AU21" s="76"/>
      <c r="AV21" s="77"/>
      <c r="AW21" s="75"/>
      <c r="AX21" s="75"/>
      <c r="AY21" s="76"/>
      <c r="AZ21" s="77"/>
      <c r="BA21" s="75"/>
      <c r="BB21" s="75"/>
      <c r="BC21" s="76"/>
      <c r="BD21" s="77"/>
      <c r="BE21" s="75"/>
      <c r="BF21" s="75"/>
      <c r="BG21" s="76"/>
      <c r="BH21" s="77"/>
      <c r="BI21" s="81"/>
      <c r="BJ21" s="78"/>
      <c r="BK21" s="76"/>
      <c r="BL21" s="77"/>
      <c r="BM21" s="75"/>
      <c r="BN21" s="75"/>
      <c r="BO21" s="76"/>
      <c r="BP21" s="77"/>
      <c r="BQ21" s="82"/>
      <c r="BR21" s="75"/>
      <c r="BS21" s="76"/>
      <c r="BT21" s="77"/>
      <c r="BU21" s="78"/>
      <c r="BV21" s="78"/>
      <c r="BW21" s="79"/>
      <c r="BX21" s="77"/>
      <c r="BY21" s="78"/>
      <c r="BZ21" s="78"/>
      <c r="CA21" s="76"/>
      <c r="CB21" s="77"/>
      <c r="CC21" s="75"/>
      <c r="CD21" s="75"/>
      <c r="CE21" s="79"/>
      <c r="CF21" s="77"/>
      <c r="CG21" s="75"/>
      <c r="CH21" s="75"/>
      <c r="CI21" s="83"/>
      <c r="CJ21" s="77"/>
      <c r="CK21" s="84"/>
      <c r="CL21" s="75"/>
      <c r="CM21" s="85"/>
      <c r="CN21" s="86"/>
      <c r="CO21" s="87"/>
      <c r="CP21" s="88"/>
      <c r="CQ21" s="70"/>
      <c r="CR21" s="70"/>
      <c r="CS21" s="70"/>
      <c r="CT21" s="70"/>
      <c r="CU21" s="70"/>
      <c r="CV21" s="70"/>
      <c r="CW21" s="70"/>
      <c r="CX21" s="70"/>
      <c r="CY21" s="70"/>
      <c r="CZ21" s="70"/>
      <c r="DA21" s="70"/>
      <c r="DB21" s="70"/>
      <c r="DC21" s="70"/>
      <c r="DD21" s="70"/>
      <c r="DE21" s="70"/>
      <c r="DF21" s="70"/>
      <c r="DG21" s="70"/>
      <c r="DH21" s="70"/>
      <c r="DI21" s="70"/>
      <c r="DJ21" s="70"/>
      <c r="DK21" s="75"/>
    </row>
    <row r="22" spans="1:115" ht="13.5" customHeight="1" x14ac:dyDescent="0.3">
      <c r="A22" s="44"/>
      <c r="B22" s="187">
        <v>1</v>
      </c>
      <c r="C22" s="146" t="s">
        <v>43</v>
      </c>
      <c r="D22" s="143" t="s">
        <v>44</v>
      </c>
      <c r="E22" s="46"/>
      <c r="F22" s="46">
        <v>300</v>
      </c>
      <c r="G22" s="47"/>
      <c r="H22" s="45">
        <v>60000</v>
      </c>
      <c r="I22" s="147" t="s">
        <v>45</v>
      </c>
      <c r="J22" s="48" t="s">
        <v>9</v>
      </c>
      <c r="K22" s="173">
        <v>22</v>
      </c>
      <c r="L22" s="66">
        <f>K22*$F$22</f>
        <v>6600</v>
      </c>
      <c r="M22" s="51">
        <f t="shared" ref="M22:N22" si="95">CO22</f>
        <v>60000</v>
      </c>
      <c r="N22" s="52">
        <f t="shared" si="95"/>
        <v>0</v>
      </c>
      <c r="O22" s="53">
        <v>24</v>
      </c>
      <c r="P22" s="54">
        <f>O22*F22</f>
        <v>7200</v>
      </c>
      <c r="Q22" s="51">
        <f t="shared" ref="Q22:R22" si="96">CO22</f>
        <v>60000</v>
      </c>
      <c r="R22" s="52">
        <f t="shared" si="96"/>
        <v>0</v>
      </c>
      <c r="S22" s="65">
        <v>24</v>
      </c>
      <c r="T22" s="65">
        <f>S22*F22</f>
        <v>7200</v>
      </c>
      <c r="U22" s="51">
        <f t="shared" ref="U22:V22" si="97">CO22</f>
        <v>60000</v>
      </c>
      <c r="V22" s="52">
        <f t="shared" si="97"/>
        <v>0</v>
      </c>
      <c r="W22" s="55">
        <v>24</v>
      </c>
      <c r="X22" s="50">
        <f>W22*F22</f>
        <v>7200</v>
      </c>
      <c r="Y22" s="51">
        <f t="shared" ref="Y22:Z22" si="98">CO22</f>
        <v>60000</v>
      </c>
      <c r="Z22" s="52">
        <f t="shared" si="98"/>
        <v>0</v>
      </c>
      <c r="AA22" s="56">
        <v>24</v>
      </c>
      <c r="AB22" s="50">
        <f>AA22*F22</f>
        <v>7200</v>
      </c>
      <c r="AC22" s="51">
        <f t="shared" ref="AC22:AD22" si="99">CO22</f>
        <v>60000</v>
      </c>
      <c r="AD22" s="52">
        <f t="shared" si="99"/>
        <v>0</v>
      </c>
      <c r="AE22" s="56">
        <v>19</v>
      </c>
      <c r="AF22" s="50">
        <f>AE22*F22</f>
        <v>5700</v>
      </c>
      <c r="AG22" s="51">
        <f t="shared" ref="AG22:AH22" si="100">CO22</f>
        <v>60000</v>
      </c>
      <c r="AH22" s="52">
        <f t="shared" si="100"/>
        <v>0</v>
      </c>
      <c r="AI22" s="57"/>
      <c r="AJ22" s="54">
        <f>AI22*F22</f>
        <v>0</v>
      </c>
      <c r="AK22" s="56">
        <v>22</v>
      </c>
      <c r="AL22" s="50">
        <f>AK22*F22</f>
        <v>6600</v>
      </c>
      <c r="AM22" s="51">
        <f t="shared" ref="AM22:AN22" si="101">CO22</f>
        <v>60000</v>
      </c>
      <c r="AN22" s="52">
        <f t="shared" si="101"/>
        <v>0</v>
      </c>
      <c r="AO22" s="53">
        <v>24</v>
      </c>
      <c r="AP22" s="54">
        <f>AO22*F22</f>
        <v>7200</v>
      </c>
      <c r="AQ22" s="51">
        <f t="shared" ref="AQ22:AR22" si="102">CO22</f>
        <v>60000</v>
      </c>
      <c r="AR22" s="52">
        <f t="shared" si="102"/>
        <v>0</v>
      </c>
      <c r="AS22" s="56">
        <v>17</v>
      </c>
      <c r="AT22" s="58">
        <f>AS22*F22</f>
        <v>5100</v>
      </c>
      <c r="AU22" s="51">
        <f t="shared" ref="AU22:AV22" si="103">CO22</f>
        <v>60000</v>
      </c>
      <c r="AV22" s="52">
        <f t="shared" si="103"/>
        <v>0</v>
      </c>
      <c r="AW22" s="56"/>
      <c r="AX22" s="50">
        <f>AW22*F22</f>
        <v>0</v>
      </c>
      <c r="AY22" s="51">
        <f t="shared" ref="AY22:AZ22" si="104">CO22</f>
        <v>60000</v>
      </c>
      <c r="AZ22" s="52">
        <f t="shared" si="104"/>
        <v>0</v>
      </c>
      <c r="BA22" s="56"/>
      <c r="BB22" s="50">
        <f>BA22*F22</f>
        <v>0</v>
      </c>
      <c r="BC22" s="51">
        <f t="shared" ref="BC22:BD22" si="105">CO22</f>
        <v>60000</v>
      </c>
      <c r="BD22" s="52">
        <f t="shared" si="105"/>
        <v>0</v>
      </c>
      <c r="BE22" s="49"/>
      <c r="BF22" s="50">
        <f>BE22*F22</f>
        <v>0</v>
      </c>
      <c r="BG22" s="51">
        <f t="shared" ref="BG22:BH22" si="106">CO22</f>
        <v>60000</v>
      </c>
      <c r="BH22" s="52">
        <f t="shared" si="106"/>
        <v>0</v>
      </c>
      <c r="BI22" s="59"/>
      <c r="BJ22" s="54">
        <f>BI22*F22</f>
        <v>0</v>
      </c>
      <c r="BK22" s="51">
        <f t="shared" ref="BK22:BL22" si="107">CO22</f>
        <v>60000</v>
      </c>
      <c r="BL22" s="52">
        <f t="shared" si="107"/>
        <v>0</v>
      </c>
      <c r="BM22" s="49"/>
      <c r="BN22" s="50">
        <f>BM22*F22</f>
        <v>0</v>
      </c>
      <c r="BO22" s="51">
        <f t="shared" ref="BO22:BP22" si="108">CO22</f>
        <v>60000</v>
      </c>
      <c r="BP22" s="52">
        <f t="shared" si="108"/>
        <v>0</v>
      </c>
      <c r="BQ22" s="60"/>
      <c r="BR22" s="50">
        <f>BQ22*F22</f>
        <v>0</v>
      </c>
      <c r="BS22" s="51">
        <f t="shared" ref="BS22:BT22" si="109">CO22</f>
        <v>60000</v>
      </c>
      <c r="BT22" s="52">
        <f t="shared" si="109"/>
        <v>0</v>
      </c>
      <c r="BU22" s="61"/>
      <c r="BV22" s="54">
        <f>BU22*F22</f>
        <v>0</v>
      </c>
      <c r="BW22" s="51">
        <f t="shared" ref="BW22:BX22" si="110">CO22</f>
        <v>60000</v>
      </c>
      <c r="BX22" s="52">
        <f t="shared" si="110"/>
        <v>0</v>
      </c>
      <c r="BY22" s="53"/>
      <c r="BZ22" s="54">
        <f>BY22*F22</f>
        <v>0</v>
      </c>
      <c r="CA22" s="51">
        <f t="shared" ref="CA22:CB22" si="111">CO22</f>
        <v>60000</v>
      </c>
      <c r="CB22" s="52">
        <f t="shared" si="111"/>
        <v>0</v>
      </c>
      <c r="CC22" s="56"/>
      <c r="CD22" s="50">
        <f>CC22*F22</f>
        <v>0</v>
      </c>
      <c r="CE22" s="51">
        <f t="shared" ref="CE22:CF22" si="112">CO22</f>
        <v>60000</v>
      </c>
      <c r="CF22" s="52">
        <f t="shared" si="112"/>
        <v>0</v>
      </c>
      <c r="CG22" s="56"/>
      <c r="CH22" s="50">
        <f>CG22*F22</f>
        <v>0</v>
      </c>
      <c r="CI22" s="62">
        <f t="shared" ref="CI22:CJ22" si="113">CO22</f>
        <v>60000</v>
      </c>
      <c r="CJ22" s="52">
        <f t="shared" si="113"/>
        <v>0</v>
      </c>
      <c r="CK22" s="63"/>
      <c r="CL22" s="50">
        <f>CK22*F22</f>
        <v>0</v>
      </c>
      <c r="CM22" s="64"/>
      <c r="CN22" s="67">
        <f>K22+O22+S22+W22+AA22+AE22+AI22+AK22+AO22+AS22+AW22+BA22+BE22+BI22+BM22+BQ22+BU22+BY22+CC22+CG22+CK22</f>
        <v>200</v>
      </c>
      <c r="CO22" s="68">
        <f>L22+P22+T22+X22+AB22+AF22+AJ22+AL22+AP22+AT22+AX22+BB22+BF22+BJ22+BN22+BR22+BV22+BZ22+CD22+CH22+CL22</f>
        <v>60000</v>
      </c>
      <c r="CP22" s="169">
        <f>H22-CO22</f>
        <v>0</v>
      </c>
      <c r="CQ22" s="70"/>
      <c r="CR22" s="70"/>
      <c r="CS22" s="70"/>
      <c r="CT22" s="70"/>
      <c r="CU22" s="70"/>
      <c r="CV22" s="70"/>
      <c r="CW22" s="70"/>
      <c r="CX22" s="70"/>
      <c r="CY22" s="70"/>
      <c r="CZ22" s="70"/>
      <c r="DA22" s="70"/>
      <c r="DB22" s="70"/>
      <c r="DC22" s="70"/>
      <c r="DD22" s="70"/>
      <c r="DE22" s="70"/>
      <c r="DF22" s="70"/>
      <c r="DG22" s="70"/>
      <c r="DH22" s="70"/>
      <c r="DI22" s="70"/>
      <c r="DJ22" s="70"/>
      <c r="DK22" s="70"/>
    </row>
    <row r="23" spans="1:115" ht="13.5" customHeight="1" x14ac:dyDescent="0.3">
      <c r="A23" s="71"/>
      <c r="B23" s="188"/>
      <c r="C23" s="72"/>
      <c r="D23" s="73"/>
      <c r="E23" s="73"/>
      <c r="F23" s="73"/>
      <c r="G23" s="28"/>
      <c r="H23" s="72"/>
      <c r="I23" s="74"/>
      <c r="J23" s="48" t="s">
        <v>25</v>
      </c>
      <c r="K23" s="75"/>
      <c r="L23" s="75"/>
      <c r="M23" s="76"/>
      <c r="N23" s="77"/>
      <c r="O23" s="78"/>
      <c r="P23" s="78"/>
      <c r="Q23" s="76"/>
      <c r="R23" s="77"/>
      <c r="S23" s="78"/>
      <c r="T23" s="78"/>
      <c r="U23" s="76"/>
      <c r="V23" s="77"/>
      <c r="W23" s="75"/>
      <c r="X23" s="75"/>
      <c r="Y23" s="76"/>
      <c r="Z23" s="77"/>
      <c r="AA23" s="75"/>
      <c r="AB23" s="75"/>
      <c r="AC23" s="79"/>
      <c r="AD23" s="80"/>
      <c r="AE23" s="75"/>
      <c r="AF23" s="75"/>
      <c r="AG23" s="79"/>
      <c r="AH23" s="77"/>
      <c r="AI23" s="81"/>
      <c r="AJ23" s="78"/>
      <c r="AK23" s="75"/>
      <c r="AL23" s="75"/>
      <c r="AM23" s="76"/>
      <c r="AN23" s="77"/>
      <c r="AO23" s="78"/>
      <c r="AP23" s="78"/>
      <c r="AQ23" s="76"/>
      <c r="AR23" s="77"/>
      <c r="AS23" s="75"/>
      <c r="AT23" s="75"/>
      <c r="AU23" s="76"/>
      <c r="AV23" s="77"/>
      <c r="AW23" s="75"/>
      <c r="AX23" s="75"/>
      <c r="AY23" s="76"/>
      <c r="AZ23" s="77"/>
      <c r="BA23" s="75"/>
      <c r="BB23" s="75"/>
      <c r="BC23" s="76"/>
      <c r="BD23" s="77"/>
      <c r="BE23" s="75"/>
      <c r="BF23" s="75"/>
      <c r="BG23" s="76"/>
      <c r="BH23" s="77"/>
      <c r="BI23" s="81"/>
      <c r="BJ23" s="78"/>
      <c r="BK23" s="76"/>
      <c r="BL23" s="77"/>
      <c r="BM23" s="75"/>
      <c r="BN23" s="75"/>
      <c r="BO23" s="76"/>
      <c r="BP23" s="77"/>
      <c r="BQ23" s="82"/>
      <c r="BR23" s="75"/>
      <c r="BS23" s="76"/>
      <c r="BT23" s="77"/>
      <c r="BU23" s="78"/>
      <c r="BV23" s="78"/>
      <c r="BW23" s="79"/>
      <c r="BX23" s="77"/>
      <c r="BY23" s="78"/>
      <c r="BZ23" s="78"/>
      <c r="CA23" s="76"/>
      <c r="CB23" s="77"/>
      <c r="CC23" s="75"/>
      <c r="CD23" s="75"/>
      <c r="CE23" s="79"/>
      <c r="CF23" s="77"/>
      <c r="CG23" s="75"/>
      <c r="CH23" s="75"/>
      <c r="CI23" s="83"/>
      <c r="CJ23" s="77"/>
      <c r="CK23" s="84"/>
      <c r="CL23" s="75"/>
      <c r="CM23" s="85"/>
      <c r="CN23" s="86"/>
      <c r="CO23" s="87"/>
      <c r="CP23" s="88"/>
      <c r="CQ23" s="70"/>
      <c r="CR23" s="70"/>
      <c r="CS23" s="70"/>
      <c r="CT23" s="70"/>
      <c r="CU23" s="70"/>
      <c r="CV23" s="70"/>
      <c r="CW23" s="70"/>
      <c r="CX23" s="70"/>
      <c r="CY23" s="70"/>
      <c r="CZ23" s="70"/>
      <c r="DA23" s="70"/>
      <c r="DB23" s="70"/>
      <c r="DC23" s="70"/>
      <c r="DD23" s="70"/>
      <c r="DE23" s="70"/>
      <c r="DF23" s="70"/>
      <c r="DG23" s="70"/>
      <c r="DH23" s="70"/>
      <c r="DI23" s="70"/>
      <c r="DJ23" s="70"/>
      <c r="DK23" s="75"/>
    </row>
    <row r="24" spans="1:115" ht="3" customHeight="1" x14ac:dyDescent="0.3">
      <c r="A24" s="98"/>
      <c r="B24" s="105"/>
      <c r="C24" s="109"/>
      <c r="D24" s="110"/>
      <c r="E24" s="110"/>
      <c r="F24" s="110"/>
      <c r="G24" s="103"/>
      <c r="H24" s="109"/>
      <c r="I24" s="90"/>
      <c r="J24" s="96"/>
      <c r="K24" s="105"/>
      <c r="L24" s="105"/>
      <c r="M24" s="111"/>
      <c r="N24" s="112"/>
      <c r="O24" s="96"/>
      <c r="P24" s="96"/>
      <c r="Q24" s="111"/>
      <c r="R24" s="112"/>
      <c r="S24" s="96"/>
      <c r="T24" s="96"/>
      <c r="U24" s="111"/>
      <c r="V24" s="112"/>
      <c r="W24" s="105"/>
      <c r="X24" s="105"/>
      <c r="Y24" s="111"/>
      <c r="Z24" s="112"/>
      <c r="AA24" s="105"/>
      <c r="AB24" s="105"/>
      <c r="AC24" s="113"/>
      <c r="AD24" s="114"/>
      <c r="AE24" s="105"/>
      <c r="AF24" s="105"/>
      <c r="AG24" s="113"/>
      <c r="AH24" s="112"/>
      <c r="AI24" s="96"/>
      <c r="AJ24" s="96"/>
      <c r="AK24" s="105"/>
      <c r="AL24" s="105"/>
      <c r="AM24" s="111"/>
      <c r="AN24" s="112"/>
      <c r="AO24" s="96"/>
      <c r="AP24" s="96"/>
      <c r="AQ24" s="111"/>
      <c r="AR24" s="112"/>
      <c r="AS24" s="105"/>
      <c r="AT24" s="105"/>
      <c r="AU24" s="111"/>
      <c r="AV24" s="112"/>
      <c r="AW24" s="105"/>
      <c r="AX24" s="105"/>
      <c r="AY24" s="111"/>
      <c r="AZ24" s="112"/>
      <c r="BA24" s="105"/>
      <c r="BB24" s="105"/>
      <c r="BC24" s="111"/>
      <c r="BD24" s="112"/>
      <c r="BE24" s="105"/>
      <c r="BF24" s="105"/>
      <c r="BG24" s="111"/>
      <c r="BH24" s="112"/>
      <c r="BI24" s="96"/>
      <c r="BJ24" s="96"/>
      <c r="BK24" s="111"/>
      <c r="BL24" s="112"/>
      <c r="BM24" s="105"/>
      <c r="BN24" s="105"/>
      <c r="BO24" s="111"/>
      <c r="BP24" s="112"/>
      <c r="BQ24" s="115"/>
      <c r="BR24" s="105"/>
      <c r="BS24" s="111"/>
      <c r="BT24" s="112"/>
      <c r="BU24" s="96"/>
      <c r="BV24" s="96"/>
      <c r="BW24" s="113"/>
      <c r="BX24" s="112"/>
      <c r="BY24" s="96"/>
      <c r="BZ24" s="96"/>
      <c r="CA24" s="111"/>
      <c r="CB24" s="112"/>
      <c r="CC24" s="105"/>
      <c r="CD24" s="105"/>
      <c r="CE24" s="113"/>
      <c r="CF24" s="112"/>
      <c r="CG24" s="105"/>
      <c r="CH24" s="105"/>
      <c r="CI24" s="111"/>
      <c r="CJ24" s="112"/>
      <c r="CK24" s="116"/>
      <c r="CL24" s="105"/>
      <c r="CM24" s="117"/>
      <c r="CN24" s="101"/>
      <c r="CO24" s="101"/>
      <c r="CP24" s="69"/>
      <c r="CQ24" s="106"/>
      <c r="CR24" s="70"/>
      <c r="CS24" s="70"/>
      <c r="CT24" s="70"/>
      <c r="CU24" s="70"/>
      <c r="CV24" s="70"/>
      <c r="CW24" s="70"/>
      <c r="CX24" s="70"/>
      <c r="CY24" s="70"/>
      <c r="CZ24" s="70"/>
      <c r="DA24" s="70"/>
      <c r="DB24" s="70"/>
      <c r="DC24" s="70"/>
      <c r="DD24" s="70"/>
      <c r="DE24" s="70"/>
      <c r="DF24" s="70"/>
      <c r="DG24" s="70"/>
      <c r="DH24" s="70"/>
      <c r="DI24" s="70"/>
      <c r="DJ24" s="70"/>
      <c r="DK24" s="70"/>
    </row>
    <row r="25" spans="1:115" ht="3.75" customHeight="1" thickBot="1" x14ac:dyDescent="0.3">
      <c r="A25" s="98"/>
      <c r="B25" s="97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  <c r="AM25" s="97"/>
      <c r="AN25" s="97"/>
      <c r="AO25" s="97"/>
      <c r="AP25" s="97"/>
      <c r="AQ25" s="97"/>
      <c r="AR25" s="97"/>
      <c r="AS25" s="97"/>
      <c r="AT25" s="97"/>
      <c r="AU25" s="97"/>
      <c r="AV25" s="97"/>
      <c r="AW25" s="97"/>
      <c r="AX25" s="97"/>
      <c r="AY25" s="97"/>
      <c r="AZ25" s="97"/>
      <c r="BA25" s="97"/>
      <c r="BB25" s="97"/>
      <c r="BC25" s="97"/>
      <c r="BD25" s="97"/>
      <c r="BE25" s="97"/>
      <c r="BF25" s="97"/>
      <c r="BG25" s="97"/>
      <c r="BH25" s="97"/>
      <c r="BI25" s="96"/>
      <c r="BJ25" s="29"/>
      <c r="BK25" s="96"/>
      <c r="BL25" s="97"/>
      <c r="BM25" s="95"/>
      <c r="BN25" s="95"/>
      <c r="BO25" s="96"/>
      <c r="BP25" s="97"/>
      <c r="BQ25" s="92"/>
      <c r="BR25" s="92"/>
      <c r="BS25" s="96"/>
      <c r="BT25" s="97"/>
      <c r="BU25" s="92"/>
      <c r="BV25" s="92"/>
      <c r="BW25" s="96"/>
      <c r="BX25" s="97"/>
      <c r="BY25" s="92"/>
      <c r="BZ25" s="92"/>
      <c r="CA25" s="96"/>
      <c r="CB25" s="97"/>
      <c r="CC25" s="95"/>
      <c r="CD25" s="95"/>
      <c r="CE25" s="96"/>
      <c r="CF25" s="97"/>
      <c r="CG25" s="92"/>
      <c r="CH25" s="29"/>
      <c r="CI25" s="96"/>
      <c r="CJ25" s="97"/>
      <c r="CK25" s="98"/>
      <c r="CL25" s="92"/>
      <c r="CM25" s="99"/>
      <c r="CN25" s="118"/>
      <c r="CO25" s="118"/>
      <c r="CP25" s="69"/>
    </row>
    <row r="26" spans="1:115" ht="5.25" customHeight="1" x14ac:dyDescent="0.25">
      <c r="A26" s="102"/>
      <c r="B26" s="96"/>
      <c r="C26" s="103"/>
      <c r="D26" s="20"/>
      <c r="E26" s="20"/>
      <c r="F26" s="20"/>
      <c r="G26" s="103"/>
      <c r="H26" s="103"/>
      <c r="I26" s="104"/>
      <c r="J26" s="94"/>
      <c r="K26" s="105"/>
      <c r="L26" s="105"/>
      <c r="M26" s="96"/>
      <c r="N26" s="97"/>
      <c r="O26" s="96"/>
      <c r="P26" s="96"/>
      <c r="Q26" s="96"/>
      <c r="R26" s="97"/>
      <c r="S26" s="96"/>
      <c r="T26" s="96"/>
      <c r="U26" s="96"/>
      <c r="V26" s="97"/>
      <c r="W26" s="96"/>
      <c r="X26" s="96"/>
      <c r="Y26" s="96"/>
      <c r="Z26" s="97"/>
      <c r="AA26" s="105"/>
      <c r="AB26" s="105"/>
      <c r="AC26" s="96"/>
      <c r="AD26" s="97"/>
      <c r="AE26" s="96"/>
      <c r="AF26" s="96"/>
      <c r="AG26" s="96"/>
      <c r="AH26" s="97"/>
      <c r="AI26" s="96"/>
      <c r="AJ26" s="96"/>
      <c r="AK26" s="105"/>
      <c r="AL26" s="105"/>
      <c r="AM26" s="96"/>
      <c r="AN26" s="97"/>
      <c r="AO26" s="96"/>
      <c r="AP26" s="96"/>
      <c r="AQ26" s="96"/>
      <c r="AR26" s="97"/>
      <c r="AS26" s="96"/>
      <c r="AT26" s="96"/>
      <c r="AU26" s="96"/>
      <c r="AV26" s="97"/>
      <c r="AW26" s="96"/>
      <c r="AX26" s="96"/>
      <c r="AY26" s="96"/>
      <c r="AZ26" s="97"/>
      <c r="BA26" s="105"/>
      <c r="BB26" s="105"/>
      <c r="BC26" s="96"/>
      <c r="BD26" s="97"/>
      <c r="BE26" s="96"/>
      <c r="BF26" s="96"/>
      <c r="BG26" s="96"/>
      <c r="BH26" s="97"/>
      <c r="BI26" s="96"/>
      <c r="BJ26" s="96"/>
      <c r="BK26" s="96"/>
      <c r="BL26" s="97"/>
      <c r="BM26" s="105"/>
      <c r="BN26" s="105"/>
      <c r="BO26" s="96"/>
      <c r="BP26" s="97"/>
      <c r="BQ26" s="96"/>
      <c r="BR26" s="96"/>
      <c r="BS26" s="96"/>
      <c r="BT26" s="97"/>
      <c r="BU26" s="96"/>
      <c r="BV26" s="96"/>
      <c r="BW26" s="96"/>
      <c r="BX26" s="97"/>
      <c r="BY26" s="96"/>
      <c r="BZ26" s="96"/>
      <c r="CA26" s="96"/>
      <c r="CB26" s="97"/>
      <c r="CC26" s="105"/>
      <c r="CD26" s="105"/>
      <c r="CE26" s="96"/>
      <c r="CF26" s="97"/>
      <c r="CG26" s="96"/>
      <c r="CH26" s="96"/>
      <c r="CI26" s="96"/>
      <c r="CJ26" s="97"/>
      <c r="CK26" s="102"/>
      <c r="CL26" s="96"/>
      <c r="CM26" s="97"/>
      <c r="CN26" s="119"/>
      <c r="CO26" s="119"/>
      <c r="CP26" s="69"/>
    </row>
    <row r="27" spans="1:115" ht="5.25" customHeight="1" thickBot="1" x14ac:dyDescent="0.3">
      <c r="A27" s="107"/>
      <c r="B27" s="120"/>
      <c r="C27" s="121"/>
      <c r="D27" s="122"/>
      <c r="E27" s="122"/>
      <c r="F27" s="122"/>
      <c r="G27" s="123"/>
      <c r="H27" s="121"/>
      <c r="I27" s="124"/>
      <c r="J27" s="108"/>
      <c r="K27" s="120"/>
      <c r="L27" s="120"/>
      <c r="M27" s="125"/>
      <c r="N27" s="126"/>
      <c r="O27" s="108"/>
      <c r="P27" s="108"/>
      <c r="Q27" s="125"/>
      <c r="R27" s="126"/>
      <c r="S27" s="108"/>
      <c r="T27" s="108"/>
      <c r="U27" s="125"/>
      <c r="V27" s="126"/>
      <c r="W27" s="120"/>
      <c r="X27" s="120"/>
      <c r="Y27" s="125"/>
      <c r="Z27" s="126"/>
      <c r="AA27" s="120"/>
      <c r="AB27" s="120"/>
      <c r="AC27" s="127"/>
      <c r="AD27" s="126"/>
      <c r="AE27" s="120"/>
      <c r="AF27" s="120"/>
      <c r="AG27" s="127"/>
      <c r="AH27" s="126"/>
      <c r="AI27" s="108"/>
      <c r="AJ27" s="108"/>
      <c r="AK27" s="120"/>
      <c r="AL27" s="120"/>
      <c r="AM27" s="125"/>
      <c r="AN27" s="126"/>
      <c r="AO27" s="108"/>
      <c r="AP27" s="108"/>
      <c r="AQ27" s="125"/>
      <c r="AR27" s="126"/>
      <c r="AS27" s="120"/>
      <c r="AT27" s="120"/>
      <c r="AU27" s="125"/>
      <c r="AV27" s="126"/>
      <c r="AW27" s="120"/>
      <c r="AX27" s="120"/>
      <c r="AY27" s="125"/>
      <c r="AZ27" s="126"/>
      <c r="BA27" s="120"/>
      <c r="BB27" s="120"/>
      <c r="BC27" s="125"/>
      <c r="BD27" s="126"/>
      <c r="BE27" s="120"/>
      <c r="BF27" s="120"/>
      <c r="BG27" s="125"/>
      <c r="BH27" s="126"/>
      <c r="BI27" s="108"/>
      <c r="BJ27" s="108"/>
      <c r="BK27" s="125"/>
      <c r="BL27" s="126"/>
      <c r="BM27" s="120"/>
      <c r="BN27" s="120"/>
      <c r="BO27" s="125"/>
      <c r="BP27" s="126"/>
      <c r="BQ27" s="128"/>
      <c r="BR27" s="120"/>
      <c r="BS27" s="125"/>
      <c r="BT27" s="126"/>
      <c r="BU27" s="108"/>
      <c r="BV27" s="108"/>
      <c r="BW27" s="127"/>
      <c r="BX27" s="126"/>
      <c r="BY27" s="108"/>
      <c r="BZ27" s="108"/>
      <c r="CA27" s="125"/>
      <c r="CB27" s="126"/>
      <c r="CC27" s="120"/>
      <c r="CD27" s="120"/>
      <c r="CE27" s="125"/>
      <c r="CF27" s="126"/>
      <c r="CG27" s="120"/>
      <c r="CH27" s="120"/>
      <c r="CI27" s="125"/>
      <c r="CJ27" s="126"/>
      <c r="CK27" s="108"/>
      <c r="CL27" s="108"/>
      <c r="CM27" s="108"/>
      <c r="CN27" s="129"/>
      <c r="CO27" s="129"/>
      <c r="CP27" s="130"/>
      <c r="CQ27" s="106"/>
      <c r="CR27" s="70"/>
      <c r="CS27" s="70"/>
      <c r="CT27" s="70"/>
      <c r="CU27" s="70"/>
      <c r="CV27" s="70"/>
      <c r="CW27" s="70"/>
      <c r="CX27" s="70"/>
      <c r="CY27" s="70"/>
      <c r="CZ27" s="70"/>
      <c r="DA27" s="70"/>
      <c r="DB27" s="70"/>
      <c r="DC27" s="70"/>
      <c r="DD27" s="70"/>
      <c r="DE27" s="70"/>
      <c r="DF27" s="70"/>
      <c r="DG27" s="70"/>
      <c r="DH27" s="70"/>
      <c r="DI27" s="70"/>
      <c r="DJ27" s="70"/>
      <c r="DK27" s="70"/>
    </row>
    <row r="28" spans="1:115" ht="13.5" customHeight="1" x14ac:dyDescent="0.3">
      <c r="A28" s="131" t="s">
        <v>40</v>
      </c>
      <c r="B28" s="190" t="s">
        <v>66</v>
      </c>
      <c r="C28" s="190"/>
      <c r="D28" s="190"/>
      <c r="E28" s="190"/>
      <c r="F28" s="190"/>
      <c r="G28" s="190"/>
      <c r="H28" s="190"/>
      <c r="I28" s="190"/>
      <c r="J28" s="190"/>
      <c r="K28" s="7"/>
      <c r="L28" s="7"/>
      <c r="M28" s="7"/>
      <c r="N28" s="11"/>
      <c r="O28" s="7"/>
      <c r="P28" s="7"/>
      <c r="Q28" s="7"/>
      <c r="R28" s="11"/>
      <c r="S28" s="7"/>
      <c r="T28" s="7"/>
      <c r="U28" s="7"/>
      <c r="V28" s="11"/>
      <c r="W28" s="7"/>
      <c r="X28" s="7"/>
      <c r="Y28" s="7"/>
      <c r="Z28" s="11"/>
      <c r="AA28" s="7"/>
      <c r="AB28" s="7"/>
      <c r="AC28" s="7"/>
      <c r="AD28" s="11"/>
      <c r="AE28" s="7"/>
      <c r="AF28" s="7"/>
      <c r="AG28" s="7"/>
      <c r="AH28" s="11"/>
      <c r="AI28" s="7"/>
      <c r="AJ28" s="7"/>
      <c r="AK28" s="7"/>
      <c r="AL28" s="7"/>
      <c r="AM28" s="7"/>
      <c r="AN28" s="11"/>
      <c r="AO28" s="7"/>
      <c r="AP28" s="7"/>
      <c r="AQ28" s="7"/>
      <c r="AR28" s="11"/>
      <c r="AS28" s="7"/>
      <c r="AT28" s="7"/>
      <c r="AU28" s="7"/>
      <c r="AV28" s="11"/>
      <c r="AW28" s="7"/>
      <c r="AX28" s="7"/>
      <c r="AY28" s="7"/>
      <c r="AZ28" s="11"/>
      <c r="BA28" s="7"/>
      <c r="BB28" s="7"/>
      <c r="BC28" s="7"/>
      <c r="BD28" s="11"/>
      <c r="BE28" s="7"/>
      <c r="BF28" s="7"/>
      <c r="BG28" s="7"/>
      <c r="BH28" s="11"/>
      <c r="BI28" s="7"/>
      <c r="BJ28" s="7"/>
      <c r="BK28" s="7"/>
      <c r="BL28" s="11"/>
      <c r="BM28" s="7"/>
      <c r="BN28" s="7"/>
      <c r="BO28" s="7"/>
      <c r="BP28" s="11"/>
      <c r="BQ28" s="7"/>
      <c r="BR28" s="7"/>
      <c r="BS28" s="7"/>
      <c r="BT28" s="11"/>
      <c r="BU28" s="7"/>
      <c r="BV28" s="7"/>
      <c r="BW28" s="7"/>
      <c r="BX28" s="11"/>
      <c r="BY28" s="7"/>
      <c r="BZ28" s="7"/>
      <c r="CA28" s="7"/>
      <c r="CB28" s="11"/>
      <c r="CC28" s="7"/>
      <c r="CD28" s="7"/>
      <c r="CE28" s="7"/>
      <c r="CF28" s="11"/>
      <c r="CG28" s="7"/>
      <c r="CH28" s="7"/>
      <c r="CI28" s="7"/>
      <c r="CJ28" s="11"/>
      <c r="CK28" s="7"/>
      <c r="CL28" s="7"/>
      <c r="CM28" s="11"/>
      <c r="CN28" s="7"/>
      <c r="CO28" s="7"/>
      <c r="CP28" s="171"/>
      <c r="CQ28" s="133"/>
    </row>
    <row r="29" spans="1:115" ht="39.75" customHeight="1" x14ac:dyDescent="0.3">
      <c r="A29" s="131"/>
      <c r="B29" s="191"/>
      <c r="C29" s="191"/>
      <c r="D29" s="191"/>
      <c r="E29" s="191"/>
      <c r="F29" s="191"/>
      <c r="G29" s="191"/>
      <c r="H29" s="191"/>
      <c r="I29" s="191"/>
      <c r="J29" s="191"/>
      <c r="K29" s="7"/>
      <c r="L29" s="7"/>
      <c r="M29" s="7"/>
      <c r="N29" s="11"/>
      <c r="O29" s="7"/>
      <c r="P29" s="7"/>
      <c r="Q29" s="7"/>
      <c r="R29" s="11"/>
      <c r="S29" s="7"/>
      <c r="T29" s="7"/>
      <c r="U29" s="7"/>
      <c r="V29" s="11"/>
      <c r="W29" s="7"/>
      <c r="X29" s="7"/>
      <c r="Y29" s="7"/>
      <c r="Z29" s="11"/>
      <c r="AA29" s="7"/>
      <c r="AB29" s="7"/>
      <c r="AC29" s="7"/>
      <c r="AD29" s="11"/>
      <c r="AE29" s="7"/>
      <c r="AF29" s="7"/>
      <c r="AG29" s="7"/>
      <c r="AH29" s="11"/>
      <c r="AI29" s="7"/>
      <c r="AJ29" s="7"/>
      <c r="AK29" s="7"/>
      <c r="AL29" s="7"/>
      <c r="AM29" s="7"/>
      <c r="AN29" s="11"/>
      <c r="AO29" s="7"/>
      <c r="AP29" s="7"/>
      <c r="AQ29" s="7"/>
      <c r="AR29" s="11"/>
      <c r="AS29" s="7"/>
      <c r="AT29" s="7"/>
      <c r="AU29" s="7"/>
      <c r="AV29" s="11"/>
      <c r="AW29" s="7"/>
      <c r="AX29" s="7"/>
      <c r="AY29" s="7"/>
      <c r="AZ29" s="11"/>
      <c r="BA29" s="7"/>
      <c r="BB29" s="7"/>
      <c r="BC29" s="7"/>
      <c r="BD29" s="11"/>
      <c r="BE29" s="7"/>
      <c r="BF29" s="7"/>
      <c r="BG29" s="7"/>
      <c r="BH29" s="11"/>
      <c r="BI29" s="7"/>
      <c r="BJ29" s="7"/>
      <c r="BK29" s="7"/>
      <c r="BL29" s="11"/>
      <c r="BM29" s="7"/>
      <c r="BN29" s="7"/>
      <c r="BO29" s="7"/>
      <c r="BP29" s="11"/>
      <c r="BQ29" s="7"/>
      <c r="BR29" s="7"/>
      <c r="BS29" s="7"/>
      <c r="BT29" s="11"/>
      <c r="BU29" s="7"/>
      <c r="BV29" s="7"/>
      <c r="BW29" s="7"/>
      <c r="BX29" s="11"/>
      <c r="BY29" s="7"/>
      <c r="BZ29" s="7"/>
      <c r="CA29" s="7"/>
      <c r="CB29" s="11"/>
      <c r="CC29" s="7"/>
      <c r="CD29" s="7"/>
      <c r="CE29" s="7"/>
      <c r="CF29" s="11"/>
      <c r="CG29" s="7"/>
      <c r="CH29" s="7"/>
      <c r="CI29" s="7"/>
      <c r="CJ29" s="11"/>
      <c r="CK29" s="7"/>
      <c r="CL29" s="7"/>
      <c r="CM29" s="11"/>
      <c r="CN29" s="7"/>
      <c r="CO29" s="7"/>
      <c r="CP29" s="132"/>
      <c r="CQ29" s="133"/>
    </row>
    <row r="30" spans="1:115" ht="27.75" customHeight="1" thickBot="1" x14ac:dyDescent="0.3">
      <c r="A30" s="167" t="s">
        <v>41</v>
      </c>
      <c r="B30" s="168"/>
      <c r="C30" s="192" t="s">
        <v>69</v>
      </c>
      <c r="D30" s="192"/>
      <c r="E30" s="192" t="s">
        <v>70</v>
      </c>
      <c r="F30" s="192"/>
      <c r="G30" s="192"/>
      <c r="H30" s="192"/>
      <c r="I30" s="192"/>
      <c r="J30" s="134"/>
      <c r="K30" s="134"/>
      <c r="L30" s="134"/>
      <c r="M30" s="134"/>
      <c r="N30" s="135"/>
      <c r="O30" s="134"/>
      <c r="P30" s="134"/>
      <c r="Q30" s="134"/>
      <c r="R30" s="135"/>
      <c r="S30" s="134"/>
      <c r="T30" s="134"/>
      <c r="U30" s="134"/>
      <c r="V30" s="135"/>
      <c r="W30" s="134"/>
      <c r="X30" s="134"/>
      <c r="Y30" s="134"/>
      <c r="Z30" s="135"/>
      <c r="AA30" s="134"/>
      <c r="AB30" s="134"/>
      <c r="AC30" s="134"/>
      <c r="AD30" s="135"/>
      <c r="AE30" s="134"/>
      <c r="AF30" s="134"/>
      <c r="AG30" s="134"/>
      <c r="AH30" s="135"/>
      <c r="AI30" s="134"/>
      <c r="AJ30" s="134"/>
      <c r="AK30" s="134"/>
      <c r="AL30" s="134"/>
      <c r="AM30" s="134"/>
      <c r="AN30" s="135"/>
      <c r="AO30" s="134"/>
      <c r="AP30" s="134"/>
      <c r="AQ30" s="134"/>
      <c r="AR30" s="135"/>
      <c r="AS30" s="134"/>
      <c r="AT30" s="134"/>
      <c r="AU30" s="134"/>
      <c r="AV30" s="135"/>
      <c r="AW30" s="134"/>
      <c r="AX30" s="134"/>
      <c r="AY30" s="134"/>
      <c r="AZ30" s="135"/>
      <c r="BA30" s="134"/>
      <c r="BB30" s="134"/>
      <c r="BC30" s="134"/>
      <c r="BD30" s="135"/>
      <c r="BE30" s="134"/>
      <c r="BF30" s="134"/>
      <c r="BG30" s="134"/>
      <c r="BH30" s="135"/>
      <c r="BI30" s="134"/>
      <c r="BJ30" s="134"/>
      <c r="BK30" s="134"/>
      <c r="BL30" s="135"/>
      <c r="BM30" s="134"/>
      <c r="BN30" s="134"/>
      <c r="BO30" s="134"/>
      <c r="BP30" s="135"/>
      <c r="BQ30" s="134"/>
      <c r="BR30" s="134"/>
      <c r="BS30" s="134"/>
      <c r="BT30" s="135"/>
      <c r="BU30" s="134"/>
      <c r="BV30" s="134"/>
      <c r="BW30" s="134"/>
      <c r="BX30" s="135"/>
      <c r="BY30" s="134"/>
      <c r="BZ30" s="134"/>
      <c r="CA30" s="134"/>
      <c r="CB30" s="135"/>
      <c r="CC30" s="134"/>
      <c r="CD30" s="134"/>
      <c r="CE30" s="134"/>
      <c r="CF30" s="135"/>
      <c r="CG30" s="134"/>
      <c r="CH30" s="134"/>
      <c r="CI30" s="134"/>
      <c r="CJ30" s="135"/>
      <c r="CK30" s="134"/>
      <c r="CL30" s="134"/>
      <c r="CM30" s="135"/>
      <c r="CN30" s="134"/>
      <c r="CO30" s="134"/>
      <c r="CP30" s="136"/>
      <c r="CQ30" s="137"/>
    </row>
    <row r="31" spans="1:115" ht="12.75" customHeight="1" thickTop="1" x14ac:dyDescent="0.25"/>
    <row r="32" spans="1:115" ht="12.75" customHeight="1" x14ac:dyDescent="0.25">
      <c r="AK32" s="138"/>
      <c r="AO32" s="138"/>
      <c r="AS32" s="138"/>
    </row>
    <row r="33" spans="3:88" ht="20.100000000000001" customHeight="1" x14ac:dyDescent="0.25">
      <c r="K33" s="177" t="s">
        <v>48</v>
      </c>
      <c r="L33" s="177"/>
      <c r="M33" s="177"/>
      <c r="N33" s="177"/>
      <c r="O33" s="177"/>
      <c r="P33" s="177"/>
      <c r="Q33" s="177"/>
      <c r="R33" s="177"/>
      <c r="S33" s="177"/>
      <c r="T33" s="177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  <c r="AH33" s="177"/>
      <c r="AK33" s="177" t="s">
        <v>49</v>
      </c>
      <c r="AL33" s="177"/>
      <c r="AM33" s="177"/>
      <c r="AN33" s="177"/>
      <c r="AO33" s="177"/>
      <c r="AP33" s="177"/>
      <c r="AQ33" s="177"/>
      <c r="AR33" s="177"/>
      <c r="AS33" s="177"/>
      <c r="AT33" s="177"/>
      <c r="AU33" s="177"/>
      <c r="AV33" s="177"/>
      <c r="AW33" s="177"/>
      <c r="AX33" s="177"/>
      <c r="AY33" s="177"/>
      <c r="AZ33" s="177"/>
      <c r="BA33" s="177"/>
      <c r="BB33" s="177"/>
      <c r="BC33" s="177"/>
      <c r="BD33" s="177"/>
      <c r="BE33" s="177"/>
      <c r="BF33" s="177"/>
      <c r="BG33" s="177"/>
      <c r="BH33" s="177"/>
      <c r="BM33" s="177" t="s">
        <v>50</v>
      </c>
      <c r="BN33" s="177"/>
      <c r="BO33" s="177"/>
      <c r="BP33" s="177"/>
      <c r="BQ33" s="177"/>
      <c r="BR33" s="177"/>
      <c r="BS33" s="177"/>
      <c r="BT33" s="177"/>
      <c r="BU33" s="177"/>
      <c r="BV33" s="177"/>
      <c r="BW33" s="177"/>
      <c r="BX33" s="177"/>
      <c r="BY33" s="177"/>
      <c r="BZ33" s="177"/>
      <c r="CA33" s="177"/>
      <c r="CB33" s="177"/>
      <c r="CC33" s="177"/>
      <c r="CD33" s="177"/>
      <c r="CE33" s="177"/>
      <c r="CF33" s="177"/>
      <c r="CG33" s="177"/>
      <c r="CH33" s="177"/>
      <c r="CI33" s="177"/>
      <c r="CJ33" s="177"/>
    </row>
    <row r="34" spans="3:88" ht="12.75" customHeight="1" x14ac:dyDescent="0.25">
      <c r="K34" s="151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  <c r="AB34" s="152"/>
      <c r="AC34" s="152"/>
      <c r="AD34" s="152"/>
      <c r="AE34" s="152"/>
      <c r="AF34" s="152"/>
      <c r="AG34" s="152"/>
      <c r="AH34" s="153"/>
      <c r="AK34" s="160"/>
      <c r="AL34" s="152"/>
      <c r="AM34" s="152"/>
      <c r="AN34" s="152"/>
      <c r="AO34" s="161"/>
      <c r="AP34" s="152"/>
      <c r="AQ34" s="152"/>
      <c r="AR34" s="152"/>
      <c r="AS34" s="161"/>
      <c r="AT34" s="152"/>
      <c r="AU34" s="152"/>
      <c r="AV34" s="152"/>
      <c r="AW34" s="152"/>
      <c r="AX34" s="152"/>
      <c r="AY34" s="152"/>
      <c r="AZ34" s="152"/>
      <c r="BA34" s="152"/>
      <c r="BB34" s="152"/>
      <c r="BC34" s="152"/>
      <c r="BD34" s="152"/>
      <c r="BE34" s="152"/>
      <c r="BF34" s="152"/>
      <c r="BG34" s="152"/>
      <c r="BH34" s="153"/>
      <c r="BM34" s="151"/>
      <c r="BN34" s="152"/>
      <c r="BO34" s="152"/>
      <c r="BP34" s="152"/>
      <c r="BQ34" s="152"/>
      <c r="BR34" s="152"/>
      <c r="BS34" s="152"/>
      <c r="BT34" s="152"/>
      <c r="BU34" s="152"/>
      <c r="BV34" s="152"/>
      <c r="BW34" s="152"/>
      <c r="BX34" s="152"/>
      <c r="BY34" s="152"/>
      <c r="BZ34" s="152"/>
      <c r="CA34" s="152"/>
      <c r="CB34" s="152"/>
      <c r="CC34" s="152"/>
      <c r="CD34" s="152"/>
      <c r="CE34" s="152"/>
      <c r="CF34" s="152"/>
      <c r="CG34" s="152"/>
      <c r="CH34" s="152"/>
      <c r="CI34" s="152"/>
      <c r="CJ34" s="153"/>
    </row>
    <row r="35" spans="3:88" ht="12.75" customHeight="1" x14ac:dyDescent="0.25">
      <c r="K35" s="154"/>
      <c r="L35" s="176" t="s">
        <v>51</v>
      </c>
      <c r="M35" s="176"/>
      <c r="N35" s="176"/>
      <c r="O35" s="176" t="s">
        <v>52</v>
      </c>
      <c r="P35" s="174"/>
      <c r="Q35" s="176" t="s">
        <v>53</v>
      </c>
      <c r="R35" s="174"/>
      <c r="S35" s="181" t="s">
        <v>68</v>
      </c>
      <c r="T35" s="182"/>
      <c r="U35" s="182"/>
      <c r="V35" s="183"/>
      <c r="W35" s="155"/>
      <c r="X35" s="186" t="s">
        <v>54</v>
      </c>
      <c r="Y35" s="186"/>
      <c r="Z35" s="186"/>
      <c r="AA35" s="186"/>
      <c r="AB35" s="186"/>
      <c r="AC35" s="155"/>
      <c r="AD35" s="155"/>
      <c r="AE35" s="155"/>
      <c r="AF35" s="155"/>
      <c r="AG35" s="155"/>
      <c r="AH35" s="156"/>
      <c r="AK35" s="154"/>
      <c r="AL35" s="155"/>
      <c r="AM35" s="176" t="s">
        <v>51</v>
      </c>
      <c r="AN35" s="176"/>
      <c r="AO35" s="176"/>
      <c r="AP35" s="176" t="s">
        <v>52</v>
      </c>
      <c r="AQ35" s="174"/>
      <c r="AR35" s="176" t="s">
        <v>53</v>
      </c>
      <c r="AS35" s="174"/>
      <c r="AT35" s="176" t="s">
        <v>68</v>
      </c>
      <c r="AU35" s="176"/>
      <c r="AV35" s="176"/>
      <c r="AW35" s="155"/>
      <c r="AX35" s="155"/>
      <c r="AY35" s="185" t="s">
        <v>54</v>
      </c>
      <c r="AZ35" s="185"/>
      <c r="BA35" s="185"/>
      <c r="BB35" s="185"/>
      <c r="BC35" s="185"/>
      <c r="BD35" s="185"/>
      <c r="BE35" s="185"/>
      <c r="BF35" s="185"/>
      <c r="BG35" s="185"/>
      <c r="BH35" s="156"/>
      <c r="BM35" s="154"/>
      <c r="BN35" s="155"/>
      <c r="BO35" s="176" t="s">
        <v>51</v>
      </c>
      <c r="BP35" s="176"/>
      <c r="BQ35" s="176"/>
      <c r="BR35" s="176" t="s">
        <v>52</v>
      </c>
      <c r="BS35" s="174"/>
      <c r="BT35" s="176" t="s">
        <v>53</v>
      </c>
      <c r="BU35" s="174"/>
      <c r="BV35" s="176" t="s">
        <v>68</v>
      </c>
      <c r="BW35" s="176"/>
      <c r="BX35" s="176"/>
      <c r="BY35" s="155"/>
      <c r="BZ35" s="155"/>
      <c r="CA35" s="185" t="s">
        <v>54</v>
      </c>
      <c r="CB35" s="185"/>
      <c r="CC35" s="185"/>
      <c r="CD35" s="185"/>
      <c r="CE35" s="185"/>
      <c r="CF35" s="185"/>
      <c r="CG35" s="185"/>
      <c r="CH35" s="185"/>
      <c r="CI35" s="185"/>
      <c r="CJ35" s="156"/>
    </row>
    <row r="36" spans="3:88" ht="12.75" customHeight="1" x14ac:dyDescent="0.25">
      <c r="H36" s="139"/>
      <c r="K36" s="154"/>
      <c r="L36" s="174" t="str">
        <f>$D$10</f>
        <v>BID 20 1000 NE PE</v>
      </c>
      <c r="M36" s="174"/>
      <c r="N36" s="174"/>
      <c r="O36" s="174">
        <f>(L10+P10+T10+X10+AB10+AF10)*1000/1000</f>
        <v>0</v>
      </c>
      <c r="P36" s="174"/>
      <c r="Q36" s="174">
        <f>O36*0.02</f>
        <v>0</v>
      </c>
      <c r="R36" s="174"/>
      <c r="S36" s="174">
        <f>O36*0.02</f>
        <v>0</v>
      </c>
      <c r="T36" s="174"/>
      <c r="U36" s="174"/>
      <c r="V36" s="174"/>
      <c r="W36" s="155"/>
      <c r="X36" s="186"/>
      <c r="Y36" s="186"/>
      <c r="Z36" s="186"/>
      <c r="AA36" s="186"/>
      <c r="AB36" s="186"/>
      <c r="AC36" s="155"/>
      <c r="AD36" s="155"/>
      <c r="AE36" s="155"/>
      <c r="AF36" s="155"/>
      <c r="AG36" s="155"/>
      <c r="AH36" s="156"/>
      <c r="AK36" s="154"/>
      <c r="AL36" s="155"/>
      <c r="AM36" s="174" t="str">
        <f>$D$10</f>
        <v>BID 20 1000 NE PE</v>
      </c>
      <c r="AN36" s="174"/>
      <c r="AO36" s="174"/>
      <c r="AP36" s="174">
        <f>(AX10+BB10+BF10)*1000/1000</f>
        <v>4700</v>
      </c>
      <c r="AQ36" s="174"/>
      <c r="AR36" s="174">
        <f>AP36*0.02</f>
        <v>94</v>
      </c>
      <c r="AS36" s="174"/>
      <c r="AT36" s="174">
        <f>AP36*0.02</f>
        <v>94</v>
      </c>
      <c r="AU36" s="174"/>
      <c r="AV36" s="174"/>
      <c r="AW36" s="155"/>
      <c r="AX36" s="155"/>
      <c r="AY36" s="185"/>
      <c r="AZ36" s="185"/>
      <c r="BA36" s="185"/>
      <c r="BB36" s="185"/>
      <c r="BC36" s="185"/>
      <c r="BD36" s="185"/>
      <c r="BE36" s="185"/>
      <c r="BF36" s="185"/>
      <c r="BG36" s="185"/>
      <c r="BH36" s="156"/>
      <c r="BM36" s="154"/>
      <c r="BN36" s="155"/>
      <c r="BO36" s="174" t="str">
        <f>$D$10</f>
        <v>BID 20 1000 NE PE</v>
      </c>
      <c r="BP36" s="174"/>
      <c r="BQ36" s="174"/>
      <c r="BR36" s="174">
        <f>(BN10+BR10+BV10+BZ10+CD10++CH10)*1000/1000</f>
        <v>10300</v>
      </c>
      <c r="BS36" s="174"/>
      <c r="BT36" s="174">
        <f>BR36*0.02</f>
        <v>206</v>
      </c>
      <c r="BU36" s="174"/>
      <c r="BV36" s="174">
        <f>BR36*0.02</f>
        <v>206</v>
      </c>
      <c r="BW36" s="174"/>
      <c r="BX36" s="174"/>
      <c r="BY36" s="155"/>
      <c r="BZ36" s="155"/>
      <c r="CA36" s="185"/>
      <c r="CB36" s="185"/>
      <c r="CC36" s="185"/>
      <c r="CD36" s="185"/>
      <c r="CE36" s="185"/>
      <c r="CF36" s="185"/>
      <c r="CG36" s="185"/>
      <c r="CH36" s="185"/>
      <c r="CI36" s="185"/>
      <c r="CJ36" s="156"/>
    </row>
    <row r="37" spans="3:88" ht="12.75" customHeight="1" x14ac:dyDescent="0.25">
      <c r="K37" s="154"/>
      <c r="L37" s="174" t="str">
        <f>$D$14</f>
        <v>BID 10 350 RO PE</v>
      </c>
      <c r="M37" s="174"/>
      <c r="N37" s="174"/>
      <c r="O37" s="176">
        <f>(L14+P14+T14+X14+AB14+AF14)*350/1000</f>
        <v>0</v>
      </c>
      <c r="P37" s="174"/>
      <c r="Q37" s="174">
        <f t="shared" ref="Q37:Q40" si="114">O37*0.02</f>
        <v>0</v>
      </c>
      <c r="R37" s="174"/>
      <c r="S37" s="174">
        <f t="shared" ref="S37:S40" si="115">O37*0.02</f>
        <v>0</v>
      </c>
      <c r="T37" s="174"/>
      <c r="U37" s="174"/>
      <c r="V37" s="174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6"/>
      <c r="AK37" s="154"/>
      <c r="AL37" s="155"/>
      <c r="AM37" s="174" t="str">
        <f>$D$14</f>
        <v>BID 10 350 RO PE</v>
      </c>
      <c r="AN37" s="174"/>
      <c r="AO37" s="174"/>
      <c r="AP37" s="176">
        <f>(AL14+AP14++AT14+AX14+BB14+BF14)*350/1000</f>
        <v>2478</v>
      </c>
      <c r="AQ37" s="174"/>
      <c r="AR37" s="174">
        <f t="shared" ref="AR37:AR40" si="116">AP37*0.02</f>
        <v>49.56</v>
      </c>
      <c r="AS37" s="174"/>
      <c r="AT37" s="174">
        <f t="shared" ref="AT37:AT40" si="117">AP37*0.02</f>
        <v>49.56</v>
      </c>
      <c r="AU37" s="174"/>
      <c r="AV37" s="174"/>
      <c r="AW37" s="155"/>
      <c r="AX37" s="155"/>
      <c r="AY37" s="155"/>
      <c r="AZ37" s="155"/>
      <c r="BA37" s="155"/>
      <c r="BB37" s="155"/>
      <c r="BC37" s="155"/>
      <c r="BD37" s="155"/>
      <c r="BE37" s="155"/>
      <c r="BF37" s="155"/>
      <c r="BG37" s="155"/>
      <c r="BH37" s="156"/>
      <c r="BM37" s="154"/>
      <c r="BN37" s="155"/>
      <c r="BO37" s="174" t="str">
        <f>$D$14</f>
        <v>BID 10 350 RO PE</v>
      </c>
      <c r="BP37" s="174"/>
      <c r="BQ37" s="174"/>
      <c r="BR37" s="176">
        <v>0</v>
      </c>
      <c r="BS37" s="174"/>
      <c r="BT37" s="174">
        <f t="shared" ref="BT37:BT40" si="118">BR37*0.02</f>
        <v>0</v>
      </c>
      <c r="BU37" s="174"/>
      <c r="BV37" s="174">
        <f t="shared" ref="BV37:BV40" si="119">BR37*0.02</f>
        <v>0</v>
      </c>
      <c r="BW37" s="174"/>
      <c r="BX37" s="174"/>
      <c r="BY37" s="155"/>
      <c r="BZ37" s="155"/>
      <c r="CA37" s="155"/>
      <c r="CB37" s="155"/>
      <c r="CC37" s="155"/>
      <c r="CD37" s="155"/>
      <c r="CE37" s="155"/>
      <c r="CF37" s="155"/>
      <c r="CG37" s="155"/>
      <c r="CH37" s="155"/>
      <c r="CI37" s="155"/>
      <c r="CJ37" s="156"/>
    </row>
    <row r="38" spans="3:88" ht="12.75" customHeight="1" x14ac:dyDescent="0.25">
      <c r="K38" s="154"/>
      <c r="L38" s="174" t="str">
        <f>$D$16</f>
        <v>BID 5 200 BLA PE</v>
      </c>
      <c r="M38" s="174"/>
      <c r="N38" s="174"/>
      <c r="O38" s="174">
        <f>+(L16+P16+T16+X16+AB16+AF16)*200/1000</f>
        <v>3562</v>
      </c>
      <c r="P38" s="174"/>
      <c r="Q38" s="174">
        <f t="shared" si="114"/>
        <v>71.239999999999995</v>
      </c>
      <c r="R38" s="174"/>
      <c r="S38" s="174">
        <f t="shared" si="115"/>
        <v>71.239999999999995</v>
      </c>
      <c r="T38" s="174"/>
      <c r="U38" s="174"/>
      <c r="V38" s="174"/>
      <c r="W38" s="155"/>
      <c r="X38" s="175" t="s">
        <v>57</v>
      </c>
      <c r="Y38" s="175"/>
      <c r="Z38" s="165">
        <f>SUM(O36:P40)+SUM(S36:U40)</f>
        <v>6148.56</v>
      </c>
      <c r="AA38" s="165" t="s">
        <v>55</v>
      </c>
      <c r="AB38" s="155"/>
      <c r="AC38" s="175" t="s">
        <v>58</v>
      </c>
      <c r="AD38" s="175"/>
      <c r="AE38" s="175"/>
      <c r="AF38" s="165">
        <f>Q39</f>
        <v>0</v>
      </c>
      <c r="AG38" s="165" t="s">
        <v>55</v>
      </c>
      <c r="AH38" s="156"/>
      <c r="AK38" s="154"/>
      <c r="AL38" s="155"/>
      <c r="AM38" s="174" t="str">
        <f>$D$16</f>
        <v>BID 5 200 BLA PE</v>
      </c>
      <c r="AN38" s="174"/>
      <c r="AO38" s="174"/>
      <c r="AP38" s="174">
        <f>(AL16+AP16+AT16+AX16+BB16+BF16)*200/1000</f>
        <v>442</v>
      </c>
      <c r="AQ38" s="174"/>
      <c r="AR38" s="174">
        <f t="shared" si="116"/>
        <v>8.84</v>
      </c>
      <c r="AS38" s="174"/>
      <c r="AT38" s="174">
        <f t="shared" si="117"/>
        <v>8.84</v>
      </c>
      <c r="AU38" s="174"/>
      <c r="AV38" s="174"/>
      <c r="AW38" s="155"/>
      <c r="AX38" s="155"/>
      <c r="AY38" s="175" t="s">
        <v>57</v>
      </c>
      <c r="AZ38" s="175"/>
      <c r="BA38" s="175">
        <f>SUM(AP36:AQ40)+SUM(AT36:AV40)</f>
        <v>10214.280000000001</v>
      </c>
      <c r="BB38" s="175"/>
      <c r="BC38" s="165" t="s">
        <v>55</v>
      </c>
      <c r="BD38" s="175" t="s">
        <v>58</v>
      </c>
      <c r="BE38" s="175"/>
      <c r="BF38" s="175"/>
      <c r="BG38" s="165">
        <f>AR39</f>
        <v>25.2</v>
      </c>
      <c r="BH38" s="166" t="s">
        <v>55</v>
      </c>
      <c r="BM38" s="154"/>
      <c r="BN38" s="155"/>
      <c r="BO38" s="174" t="str">
        <f>$D$16</f>
        <v>BID 5 200 BLA PE</v>
      </c>
      <c r="BP38" s="174"/>
      <c r="BQ38" s="174"/>
      <c r="BR38" s="174">
        <v>0</v>
      </c>
      <c r="BS38" s="174"/>
      <c r="BT38" s="174">
        <f t="shared" si="118"/>
        <v>0</v>
      </c>
      <c r="BU38" s="174"/>
      <c r="BV38" s="174">
        <f t="shared" si="119"/>
        <v>0</v>
      </c>
      <c r="BW38" s="174"/>
      <c r="BX38" s="174"/>
      <c r="BY38" s="155"/>
      <c r="BZ38" s="155"/>
      <c r="CA38" s="175" t="s">
        <v>57</v>
      </c>
      <c r="CB38" s="175"/>
      <c r="CC38" s="175">
        <f>SUM(BR36:BS40)+SUM(BV36:BX40)</f>
        <v>11974.8</v>
      </c>
      <c r="CD38" s="175"/>
      <c r="CE38" s="165" t="s">
        <v>55</v>
      </c>
      <c r="CF38" s="175" t="s">
        <v>58</v>
      </c>
      <c r="CG38" s="175"/>
      <c r="CH38" s="175"/>
      <c r="CI38" s="165">
        <f>BT39</f>
        <v>28.8</v>
      </c>
      <c r="CJ38" s="166" t="s">
        <v>55</v>
      </c>
    </row>
    <row r="39" spans="3:88" ht="12.75" customHeight="1" x14ac:dyDescent="0.25">
      <c r="K39" s="154"/>
      <c r="L39" s="174" t="str">
        <f>$D$20</f>
        <v>BOT 1 60 AMA PE</v>
      </c>
      <c r="M39" s="174"/>
      <c r="N39" s="174"/>
      <c r="O39" s="174">
        <f>(L20+P20+T20+X20+AB20+AF20)*60/1000</f>
        <v>0</v>
      </c>
      <c r="P39" s="174"/>
      <c r="Q39" s="174">
        <f t="shared" si="114"/>
        <v>0</v>
      </c>
      <c r="R39" s="174"/>
      <c r="S39" s="174">
        <f t="shared" si="115"/>
        <v>0</v>
      </c>
      <c r="T39" s="174"/>
      <c r="U39" s="174"/>
      <c r="V39" s="174"/>
      <c r="W39" s="155"/>
      <c r="X39" s="165"/>
      <c r="Y39" s="165"/>
      <c r="Z39" s="165"/>
      <c r="AA39" s="165"/>
      <c r="AB39" s="155"/>
      <c r="AC39" s="175" t="s">
        <v>59</v>
      </c>
      <c r="AD39" s="175"/>
      <c r="AE39" s="175"/>
      <c r="AF39" s="163">
        <f>Q37</f>
        <v>0</v>
      </c>
      <c r="AG39" s="165" t="s">
        <v>55</v>
      </c>
      <c r="AH39" s="156"/>
      <c r="AK39" s="154"/>
      <c r="AL39" s="155"/>
      <c r="AM39" s="174" t="str">
        <f>$D$20</f>
        <v>BOT 1 60 AMA PE</v>
      </c>
      <c r="AN39" s="174"/>
      <c r="AO39" s="174"/>
      <c r="AP39" s="174">
        <f>(AT20+AX20+BB20+BF20)*60/1000</f>
        <v>1260</v>
      </c>
      <c r="AQ39" s="174"/>
      <c r="AR39" s="174">
        <f t="shared" si="116"/>
        <v>25.2</v>
      </c>
      <c r="AS39" s="174"/>
      <c r="AT39" s="174">
        <f t="shared" si="117"/>
        <v>25.2</v>
      </c>
      <c r="AU39" s="174"/>
      <c r="AV39" s="174"/>
      <c r="AW39" s="155"/>
      <c r="AX39" s="155"/>
      <c r="AY39" s="165"/>
      <c r="AZ39" s="165"/>
      <c r="BA39" s="164"/>
      <c r="BB39" s="164"/>
      <c r="BC39" s="155"/>
      <c r="BD39" s="175" t="s">
        <v>59</v>
      </c>
      <c r="BE39" s="175"/>
      <c r="BF39" s="175"/>
      <c r="BG39" s="163">
        <f>AR37</f>
        <v>49.56</v>
      </c>
      <c r="BH39" s="166" t="s">
        <v>55</v>
      </c>
      <c r="BM39" s="154"/>
      <c r="BN39" s="155"/>
      <c r="BO39" s="174" t="str">
        <f>$D$20</f>
        <v>BOT 1 60 AMA PE</v>
      </c>
      <c r="BP39" s="174"/>
      <c r="BQ39" s="174"/>
      <c r="BR39" s="174">
        <f>(BN20+BR20+BV20+BZ20+CD20+CH20)*60/1000</f>
        <v>1440</v>
      </c>
      <c r="BS39" s="174"/>
      <c r="BT39" s="174">
        <f t="shared" si="118"/>
        <v>28.8</v>
      </c>
      <c r="BU39" s="174"/>
      <c r="BV39" s="174">
        <f t="shared" si="119"/>
        <v>28.8</v>
      </c>
      <c r="BW39" s="174"/>
      <c r="BX39" s="174"/>
      <c r="BY39" s="155"/>
      <c r="BZ39" s="155"/>
      <c r="CA39" s="165"/>
      <c r="CB39" s="165"/>
      <c r="CC39" s="164"/>
      <c r="CD39" s="164"/>
      <c r="CE39" s="155"/>
      <c r="CF39" s="175" t="s">
        <v>59</v>
      </c>
      <c r="CG39" s="175"/>
      <c r="CH39" s="175"/>
      <c r="CI39" s="163">
        <f>BT37</f>
        <v>0</v>
      </c>
      <c r="CJ39" s="166" t="s">
        <v>55</v>
      </c>
    </row>
    <row r="40" spans="3:88" ht="12.75" customHeight="1" x14ac:dyDescent="0.25">
      <c r="C40" s="140"/>
      <c r="F40" s="139"/>
      <c r="K40" s="154"/>
      <c r="L40" s="174" t="str">
        <f>$D$22</f>
        <v>BOT 1 60 BLA PE</v>
      </c>
      <c r="M40" s="174"/>
      <c r="N40" s="174"/>
      <c r="O40" s="174">
        <f>(L22+P22+T22+X22+AB22+AF22)*60/1000</f>
        <v>2466</v>
      </c>
      <c r="P40" s="174"/>
      <c r="Q40" s="174">
        <f t="shared" si="114"/>
        <v>49.32</v>
      </c>
      <c r="R40" s="174"/>
      <c r="S40" s="174">
        <f t="shared" si="115"/>
        <v>49.32</v>
      </c>
      <c r="T40" s="174"/>
      <c r="U40" s="174"/>
      <c r="V40" s="174"/>
      <c r="W40" s="175" t="s">
        <v>56</v>
      </c>
      <c r="X40" s="175"/>
      <c r="Y40" s="175"/>
      <c r="Z40" s="165">
        <f>Q38+Q40</f>
        <v>120.56</v>
      </c>
      <c r="AA40" s="165" t="s">
        <v>55</v>
      </c>
      <c r="AB40" s="155"/>
      <c r="AC40" s="175" t="s">
        <v>60</v>
      </c>
      <c r="AD40" s="175"/>
      <c r="AE40" s="175"/>
      <c r="AF40" s="163">
        <f>Q36</f>
        <v>0</v>
      </c>
      <c r="AG40" s="165" t="s">
        <v>55</v>
      </c>
      <c r="AH40" s="156"/>
      <c r="AK40" s="154"/>
      <c r="AL40" s="155"/>
      <c r="AM40" s="174" t="str">
        <f>$D$22</f>
        <v>BOT 1 60 BLA PE</v>
      </c>
      <c r="AN40" s="174"/>
      <c r="AO40" s="174"/>
      <c r="AP40" s="174">
        <f>(AL22+AP22+AT22+AX22+BB22+BF22)*60/1000</f>
        <v>1134</v>
      </c>
      <c r="AQ40" s="174"/>
      <c r="AR40" s="174">
        <f t="shared" si="116"/>
        <v>22.68</v>
      </c>
      <c r="AS40" s="174"/>
      <c r="AT40" s="174">
        <f t="shared" si="117"/>
        <v>22.68</v>
      </c>
      <c r="AU40" s="174"/>
      <c r="AV40" s="174"/>
      <c r="AW40" s="155"/>
      <c r="AX40" s="165"/>
      <c r="AY40" s="184" t="s">
        <v>56</v>
      </c>
      <c r="AZ40" s="184"/>
      <c r="BA40" s="175">
        <f>AR38+AR40</f>
        <v>31.52</v>
      </c>
      <c r="BB40" s="175"/>
      <c r="BC40" s="165" t="s">
        <v>55</v>
      </c>
      <c r="BD40" s="175" t="s">
        <v>60</v>
      </c>
      <c r="BE40" s="175"/>
      <c r="BF40" s="175"/>
      <c r="BG40" s="163">
        <f>AR36</f>
        <v>94</v>
      </c>
      <c r="BH40" s="166" t="s">
        <v>55</v>
      </c>
      <c r="BM40" s="154"/>
      <c r="BN40" s="155"/>
      <c r="BO40" s="174" t="str">
        <f>$D$22</f>
        <v>BOT 1 60 BLA PE</v>
      </c>
      <c r="BP40" s="174"/>
      <c r="BQ40" s="174"/>
      <c r="BR40" s="174">
        <v>0</v>
      </c>
      <c r="BS40" s="174"/>
      <c r="BT40" s="174">
        <f t="shared" si="118"/>
        <v>0</v>
      </c>
      <c r="BU40" s="174"/>
      <c r="BV40" s="174">
        <f t="shared" si="119"/>
        <v>0</v>
      </c>
      <c r="BW40" s="174"/>
      <c r="BX40" s="174"/>
      <c r="BY40" s="155"/>
      <c r="BZ40" s="165"/>
      <c r="CA40" s="184" t="s">
        <v>56</v>
      </c>
      <c r="CB40" s="184"/>
      <c r="CC40" s="175">
        <f>BT38+BT40</f>
        <v>0</v>
      </c>
      <c r="CD40" s="175"/>
      <c r="CE40" s="165" t="s">
        <v>55</v>
      </c>
      <c r="CF40" s="175" t="s">
        <v>60</v>
      </c>
      <c r="CG40" s="175"/>
      <c r="CH40" s="175"/>
      <c r="CI40" s="163">
        <f>BT36</f>
        <v>206</v>
      </c>
      <c r="CJ40" s="166" t="s">
        <v>55</v>
      </c>
    </row>
    <row r="41" spans="3:88" ht="12.75" customHeight="1" x14ac:dyDescent="0.25">
      <c r="K41" s="157"/>
      <c r="L41" s="158"/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58"/>
      <c r="X41" s="158"/>
      <c r="Y41" s="158"/>
      <c r="Z41" s="158"/>
      <c r="AA41" s="158"/>
      <c r="AB41" s="158"/>
      <c r="AC41" s="158"/>
      <c r="AD41" s="158"/>
      <c r="AE41" s="158"/>
      <c r="AF41" s="158"/>
      <c r="AG41" s="158"/>
      <c r="AH41" s="159"/>
      <c r="AK41" s="157"/>
      <c r="AL41" s="158"/>
      <c r="AM41" s="158"/>
      <c r="AN41" s="158"/>
      <c r="AO41" s="158"/>
      <c r="AP41" s="158"/>
      <c r="AQ41" s="158"/>
      <c r="AR41" s="158"/>
      <c r="AS41" s="158"/>
      <c r="AT41" s="158"/>
      <c r="AU41" s="158"/>
      <c r="AV41" s="158"/>
      <c r="AW41" s="158"/>
      <c r="AX41" s="158"/>
      <c r="AY41" s="158"/>
      <c r="AZ41" s="158"/>
      <c r="BA41" s="158"/>
      <c r="BB41" s="158"/>
      <c r="BC41" s="158"/>
      <c r="BD41" s="158"/>
      <c r="BE41" s="158"/>
      <c r="BF41" s="158"/>
      <c r="BG41" s="158"/>
      <c r="BH41" s="159"/>
      <c r="BM41" s="157"/>
      <c r="BN41" s="158"/>
      <c r="BO41" s="158"/>
      <c r="BP41" s="158"/>
      <c r="BQ41" s="158"/>
      <c r="BR41" s="158"/>
      <c r="BS41" s="158"/>
      <c r="BT41" s="158"/>
      <c r="BU41" s="158"/>
      <c r="BV41" s="158"/>
      <c r="BW41" s="158"/>
      <c r="BX41" s="158"/>
      <c r="BY41" s="158"/>
      <c r="BZ41" s="158"/>
      <c r="CA41" s="158"/>
      <c r="CB41" s="158"/>
      <c r="CC41" s="158"/>
      <c r="CD41" s="158"/>
      <c r="CE41" s="158"/>
      <c r="CF41" s="158"/>
      <c r="CG41" s="158"/>
      <c r="CH41" s="158"/>
      <c r="CI41" s="158"/>
      <c r="CJ41" s="159"/>
    </row>
    <row r="42" spans="3:88" ht="20.100000000000001" customHeight="1" x14ac:dyDescent="0.25">
      <c r="F42" s="139"/>
      <c r="K42" s="178" t="s">
        <v>63</v>
      </c>
      <c r="L42" s="179"/>
      <c r="M42" s="179"/>
      <c r="N42" s="179"/>
      <c r="O42" s="179"/>
      <c r="P42" s="179"/>
      <c r="Q42" s="179"/>
      <c r="R42" s="179"/>
      <c r="S42" s="179"/>
      <c r="T42" s="179"/>
      <c r="U42" s="179"/>
      <c r="V42" s="179"/>
      <c r="W42" s="179"/>
      <c r="X42" s="179"/>
      <c r="Y42" s="179"/>
      <c r="Z42" s="179"/>
      <c r="AA42" s="179"/>
      <c r="AB42" s="179"/>
      <c r="AC42" s="179"/>
      <c r="AD42" s="179"/>
      <c r="AE42" s="179"/>
      <c r="AF42" s="179"/>
      <c r="AG42" s="179"/>
      <c r="AH42" s="180"/>
      <c r="AK42" s="178" t="s">
        <v>63</v>
      </c>
      <c r="AL42" s="179"/>
      <c r="AM42" s="179"/>
      <c r="AN42" s="179"/>
      <c r="AO42" s="179"/>
      <c r="AP42" s="179"/>
      <c r="AQ42" s="179"/>
      <c r="AR42" s="179"/>
      <c r="AS42" s="179"/>
      <c r="AT42" s="179"/>
      <c r="AU42" s="179"/>
      <c r="AV42" s="179"/>
      <c r="AW42" s="179"/>
      <c r="AX42" s="179"/>
      <c r="AY42" s="179"/>
      <c r="AZ42" s="179"/>
      <c r="BA42" s="179"/>
      <c r="BB42" s="179"/>
      <c r="BC42" s="179"/>
      <c r="BD42" s="179"/>
      <c r="BE42" s="179"/>
      <c r="BF42" s="179"/>
      <c r="BG42" s="179"/>
      <c r="BH42" s="180"/>
      <c r="BM42" s="178" t="s">
        <v>63</v>
      </c>
      <c r="BN42" s="179"/>
      <c r="BO42" s="179"/>
      <c r="BP42" s="179"/>
      <c r="BQ42" s="179"/>
      <c r="BR42" s="179"/>
      <c r="BS42" s="179"/>
      <c r="BT42" s="179"/>
      <c r="BU42" s="179"/>
      <c r="BV42" s="179"/>
      <c r="BW42" s="179"/>
      <c r="BX42" s="179"/>
      <c r="BY42" s="179"/>
      <c r="BZ42" s="179"/>
      <c r="CA42" s="179"/>
      <c r="CB42" s="179"/>
      <c r="CC42" s="179"/>
      <c r="CD42" s="179"/>
      <c r="CE42" s="179"/>
      <c r="CF42" s="179"/>
      <c r="CG42" s="179"/>
      <c r="CH42" s="179"/>
      <c r="CI42" s="179"/>
      <c r="CJ42" s="180"/>
    </row>
    <row r="43" spans="3:88" ht="15" customHeight="1" x14ac:dyDescent="0.25">
      <c r="K43" s="151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  <c r="Y43" s="152"/>
      <c r="Z43" s="152"/>
      <c r="AA43" s="152"/>
      <c r="AB43" s="152"/>
      <c r="AC43" s="152"/>
      <c r="AD43" s="152"/>
      <c r="AE43" s="152"/>
      <c r="AF43" s="152"/>
      <c r="AG43" s="152"/>
      <c r="AH43" s="153"/>
      <c r="AK43" s="151"/>
      <c r="AL43" s="152"/>
      <c r="AM43" s="152"/>
      <c r="AN43" s="152"/>
      <c r="AO43" s="152"/>
      <c r="AP43" s="152"/>
      <c r="AQ43" s="152"/>
      <c r="AR43" s="152"/>
      <c r="AS43" s="152"/>
      <c r="AT43" s="152"/>
      <c r="AU43" s="152"/>
      <c r="AV43" s="152"/>
      <c r="AW43" s="152"/>
      <c r="AX43" s="152"/>
      <c r="AY43" s="152"/>
      <c r="AZ43" s="152"/>
      <c r="BA43" s="152"/>
      <c r="BB43" s="152"/>
      <c r="BC43" s="152"/>
      <c r="BD43" s="152"/>
      <c r="BE43" s="152"/>
      <c r="BF43" s="152"/>
      <c r="BG43" s="152"/>
      <c r="BH43" s="153"/>
      <c r="BM43" s="151"/>
      <c r="BN43" s="152"/>
      <c r="BO43" s="152"/>
      <c r="BP43" s="152"/>
      <c r="BQ43" s="152"/>
      <c r="BR43" s="152"/>
      <c r="BS43" s="152"/>
      <c r="BT43" s="152"/>
      <c r="BU43" s="152"/>
      <c r="BV43" s="152"/>
      <c r="BW43" s="152"/>
      <c r="BX43" s="152"/>
      <c r="BY43" s="152"/>
      <c r="BZ43" s="152"/>
      <c r="CA43" s="152"/>
      <c r="CB43" s="152"/>
      <c r="CC43" s="152"/>
      <c r="CD43" s="152"/>
      <c r="CE43" s="152"/>
      <c r="CF43" s="152"/>
      <c r="CG43" s="152"/>
      <c r="CH43" s="152"/>
      <c r="CI43" s="152"/>
      <c r="CJ43" s="153"/>
    </row>
    <row r="44" spans="3:88" ht="15" customHeight="1" x14ac:dyDescent="0.25">
      <c r="K44" s="154"/>
      <c r="L44" s="155"/>
      <c r="M44" s="155"/>
      <c r="N44" s="155"/>
      <c r="O44" s="155"/>
      <c r="P44" s="155"/>
      <c r="Q44" s="162" t="s">
        <v>64</v>
      </c>
      <c r="R44" s="155"/>
      <c r="S44" s="155"/>
      <c r="T44" s="155"/>
      <c r="U44" s="155"/>
      <c r="V44" s="155"/>
      <c r="W44" s="155"/>
      <c r="X44" s="155"/>
      <c r="Y44" s="155"/>
      <c r="Z44" s="155"/>
      <c r="AA44" s="155"/>
      <c r="AB44" s="155"/>
      <c r="AC44" s="155"/>
      <c r="AD44" s="155"/>
      <c r="AE44" s="155"/>
      <c r="AF44" s="155"/>
      <c r="AG44" s="155"/>
      <c r="AH44" s="156"/>
      <c r="AK44" s="154"/>
      <c r="AL44" s="155"/>
      <c r="AM44" s="155"/>
      <c r="AN44" s="155"/>
      <c r="AO44" s="155"/>
      <c r="AP44" s="155"/>
      <c r="AQ44" s="162" t="s">
        <v>64</v>
      </c>
      <c r="AR44" s="155"/>
      <c r="AS44" s="155"/>
      <c r="AT44" s="155"/>
      <c r="AU44" s="155"/>
      <c r="AV44" s="155"/>
      <c r="AW44" s="155"/>
      <c r="AX44" s="155"/>
      <c r="AY44" s="155"/>
      <c r="AZ44" s="155"/>
      <c r="BA44" s="155"/>
      <c r="BB44" s="155"/>
      <c r="BC44" s="155"/>
      <c r="BD44" s="155"/>
      <c r="BE44" s="155"/>
      <c r="BF44" s="155"/>
      <c r="BG44" s="155"/>
      <c r="BH44" s="156"/>
      <c r="BM44" s="154"/>
      <c r="BN44" s="155"/>
      <c r="BO44" s="155"/>
      <c r="BP44" s="155"/>
      <c r="BQ44" s="155"/>
      <c r="BR44" s="155"/>
      <c r="BS44" s="162" t="s">
        <v>65</v>
      </c>
      <c r="BT44" s="155"/>
      <c r="BU44" s="155"/>
      <c r="BV44" s="155"/>
      <c r="BW44" s="155"/>
      <c r="BX44" s="155"/>
      <c r="BY44" s="155"/>
      <c r="BZ44" s="155"/>
      <c r="CA44" s="155"/>
      <c r="CB44" s="155"/>
      <c r="CC44" s="155"/>
      <c r="CD44" s="155"/>
      <c r="CE44" s="155"/>
      <c r="CF44" s="155"/>
      <c r="CG44" s="155"/>
      <c r="CH44" s="155"/>
      <c r="CI44" s="155"/>
      <c r="CJ44" s="156"/>
    </row>
    <row r="45" spans="3:88" ht="15" customHeight="1" x14ac:dyDescent="0.25">
      <c r="K45" s="154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155"/>
      <c r="AA45" s="155"/>
      <c r="AB45" s="155"/>
      <c r="AC45" s="155"/>
      <c r="AD45" s="155"/>
      <c r="AE45" s="155"/>
      <c r="AF45" s="155"/>
      <c r="AG45" s="155"/>
      <c r="AH45" s="156"/>
      <c r="AK45" s="154"/>
      <c r="AL45" s="155"/>
      <c r="AM45" s="155"/>
      <c r="AN45" s="155"/>
      <c r="AO45" s="155"/>
      <c r="AP45" s="155"/>
      <c r="AQ45" s="155"/>
      <c r="AR45" s="155"/>
      <c r="AS45" s="155"/>
      <c r="AT45" s="155"/>
      <c r="AU45" s="155"/>
      <c r="AV45" s="155"/>
      <c r="AW45" s="155"/>
      <c r="AX45" s="155"/>
      <c r="AY45" s="155"/>
      <c r="AZ45" s="155"/>
      <c r="BA45" s="155"/>
      <c r="BB45" s="155"/>
      <c r="BC45" s="155"/>
      <c r="BD45" s="155"/>
      <c r="BE45" s="155"/>
      <c r="BF45" s="155"/>
      <c r="BG45" s="155"/>
      <c r="BH45" s="156"/>
      <c r="BM45" s="154"/>
      <c r="BN45" s="155"/>
      <c r="BO45" s="155"/>
      <c r="BP45" s="155"/>
      <c r="BQ45" s="155"/>
      <c r="BR45" s="155"/>
      <c r="BS45" s="155"/>
      <c r="BT45" s="155"/>
      <c r="BU45" s="155"/>
      <c r="BV45" s="155"/>
      <c r="BW45" s="155"/>
      <c r="BX45" s="155"/>
      <c r="BY45" s="155"/>
      <c r="BZ45" s="155"/>
      <c r="CA45" s="155"/>
      <c r="CB45" s="155"/>
      <c r="CC45" s="155"/>
      <c r="CD45" s="155"/>
      <c r="CE45" s="155"/>
      <c r="CF45" s="155"/>
      <c r="CG45" s="155"/>
      <c r="CH45" s="155"/>
      <c r="CI45" s="155"/>
      <c r="CJ45" s="156"/>
    </row>
    <row r="46" spans="3:88" ht="15" customHeight="1" x14ac:dyDescent="0.25">
      <c r="K46" s="157"/>
      <c r="L46" s="158"/>
      <c r="M46" s="158"/>
      <c r="N46" s="158"/>
      <c r="O46" s="158"/>
      <c r="P46" s="158"/>
      <c r="Q46" s="158"/>
      <c r="R46" s="158"/>
      <c r="S46" s="158"/>
      <c r="T46" s="158"/>
      <c r="U46" s="158"/>
      <c r="V46" s="158"/>
      <c r="W46" s="158"/>
      <c r="X46" s="158"/>
      <c r="Y46" s="158"/>
      <c r="Z46" s="158"/>
      <c r="AA46" s="158"/>
      <c r="AB46" s="158"/>
      <c r="AC46" s="158"/>
      <c r="AD46" s="158"/>
      <c r="AE46" s="158"/>
      <c r="AF46" s="158"/>
      <c r="AG46" s="158"/>
      <c r="AH46" s="159"/>
      <c r="AK46" s="157"/>
      <c r="AL46" s="158"/>
      <c r="AM46" s="158"/>
      <c r="AN46" s="158"/>
      <c r="AO46" s="158"/>
      <c r="AP46" s="158"/>
      <c r="AQ46" s="158"/>
      <c r="AR46" s="158"/>
      <c r="AS46" s="158"/>
      <c r="AT46" s="158"/>
      <c r="AU46" s="158"/>
      <c r="AV46" s="158"/>
      <c r="AW46" s="158"/>
      <c r="AX46" s="158"/>
      <c r="AY46" s="158"/>
      <c r="AZ46" s="158"/>
      <c r="BA46" s="158"/>
      <c r="BB46" s="158"/>
      <c r="BC46" s="158"/>
      <c r="BD46" s="158"/>
      <c r="BE46" s="158"/>
      <c r="BF46" s="158"/>
      <c r="BG46" s="158"/>
      <c r="BH46" s="159"/>
      <c r="BM46" s="157"/>
      <c r="BN46" s="158"/>
      <c r="BO46" s="158"/>
      <c r="BP46" s="158"/>
      <c r="BQ46" s="158"/>
      <c r="BR46" s="158"/>
      <c r="BS46" s="172" t="s">
        <v>67</v>
      </c>
      <c r="BT46" s="158"/>
      <c r="BU46" s="158"/>
      <c r="BV46" s="158"/>
      <c r="BW46" s="158"/>
      <c r="BX46" s="158"/>
      <c r="BY46" s="158"/>
      <c r="BZ46" s="158"/>
      <c r="CA46" s="158"/>
      <c r="CB46" s="158"/>
      <c r="CC46" s="158"/>
      <c r="CD46" s="158"/>
      <c r="CE46" s="158"/>
      <c r="CF46" s="158"/>
      <c r="CG46" s="158"/>
      <c r="CH46" s="158"/>
      <c r="CI46" s="158"/>
      <c r="CJ46" s="159"/>
    </row>
  </sheetData>
  <mergeCells count="140">
    <mergeCell ref="CN6:CO6"/>
    <mergeCell ref="K7:N7"/>
    <mergeCell ref="O7:R7"/>
    <mergeCell ref="S7:V7"/>
    <mergeCell ref="W7:Z7"/>
    <mergeCell ref="AA7:AD7"/>
    <mergeCell ref="AE7:AH7"/>
    <mergeCell ref="AI7:AJ7"/>
    <mergeCell ref="AK7:AN7"/>
    <mergeCell ref="AO7:AR7"/>
    <mergeCell ref="AS7:AV7"/>
    <mergeCell ref="AW7:AZ7"/>
    <mergeCell ref="BI7:BL7"/>
    <mergeCell ref="BM7:BP7"/>
    <mergeCell ref="BQ7:BT7"/>
    <mergeCell ref="K6:AH6"/>
    <mergeCell ref="AK6:BE6"/>
    <mergeCell ref="BM6:CM6"/>
    <mergeCell ref="BQ4:BT5"/>
    <mergeCell ref="G7:H7"/>
    <mergeCell ref="BA7:BD7"/>
    <mergeCell ref="BE7:BH7"/>
    <mergeCell ref="BU7:BX7"/>
    <mergeCell ref="BY7:CB7"/>
    <mergeCell ref="CC7:CF7"/>
    <mergeCell ref="CG7:CJ7"/>
    <mergeCell ref="CK7:CM7"/>
    <mergeCell ref="B22:B23"/>
    <mergeCell ref="B20:B21"/>
    <mergeCell ref="B28:J29"/>
    <mergeCell ref="C30:D30"/>
    <mergeCell ref="K33:AH33"/>
    <mergeCell ref="B16:B17"/>
    <mergeCell ref="B14:B15"/>
    <mergeCell ref="B10:B13"/>
    <mergeCell ref="A3:J3"/>
    <mergeCell ref="G6:H6"/>
    <mergeCell ref="I16:I17"/>
    <mergeCell ref="I10:I13"/>
    <mergeCell ref="I14:I15"/>
    <mergeCell ref="E30:I30"/>
    <mergeCell ref="BM33:CJ33"/>
    <mergeCell ref="O35:P35"/>
    <mergeCell ref="Q35:R35"/>
    <mergeCell ref="X35:AB36"/>
    <mergeCell ref="AR35:AS35"/>
    <mergeCell ref="AT35:AV35"/>
    <mergeCell ref="AR36:AS36"/>
    <mergeCell ref="AT36:AV36"/>
    <mergeCell ref="BR35:BS35"/>
    <mergeCell ref="BT35:BU35"/>
    <mergeCell ref="BV35:BX35"/>
    <mergeCell ref="AP35:AQ35"/>
    <mergeCell ref="AP36:AQ36"/>
    <mergeCell ref="O36:P36"/>
    <mergeCell ref="Q36:R36"/>
    <mergeCell ref="AM36:AO36"/>
    <mergeCell ref="AM35:AO35"/>
    <mergeCell ref="O39:P39"/>
    <mergeCell ref="Q39:R39"/>
    <mergeCell ref="O40:P40"/>
    <mergeCell ref="Q40:R40"/>
    <mergeCell ref="L39:N39"/>
    <mergeCell ref="L40:N40"/>
    <mergeCell ref="O37:P37"/>
    <mergeCell ref="Q37:R37"/>
    <mergeCell ref="O38:P38"/>
    <mergeCell ref="Q38:R38"/>
    <mergeCell ref="X38:Y38"/>
    <mergeCell ref="AR40:AS40"/>
    <mergeCell ref="AT40:AV40"/>
    <mergeCell ref="AC38:AE38"/>
    <mergeCell ref="AC39:AE39"/>
    <mergeCell ref="AC40:AE40"/>
    <mergeCell ref="AM37:AO37"/>
    <mergeCell ref="AM38:AO38"/>
    <mergeCell ref="AM39:AO39"/>
    <mergeCell ref="AM40:AO40"/>
    <mergeCell ref="AP37:AQ37"/>
    <mergeCell ref="AP40:AQ40"/>
    <mergeCell ref="AP39:AQ39"/>
    <mergeCell ref="BD40:BF40"/>
    <mergeCell ref="BA40:BB40"/>
    <mergeCell ref="AY40:AZ40"/>
    <mergeCell ref="AY38:AZ38"/>
    <mergeCell ref="BO39:BQ39"/>
    <mergeCell ref="AR39:AS39"/>
    <mergeCell ref="AT39:AV39"/>
    <mergeCell ref="AR37:AS37"/>
    <mergeCell ref="AT37:AV37"/>
    <mergeCell ref="AR38:AS38"/>
    <mergeCell ref="AT38:AV38"/>
    <mergeCell ref="W40:Y40"/>
    <mergeCell ref="AK33:BH33"/>
    <mergeCell ref="K42:AH42"/>
    <mergeCell ref="AK42:BH42"/>
    <mergeCell ref="BM42:CJ42"/>
    <mergeCell ref="S35:V35"/>
    <mergeCell ref="S36:V36"/>
    <mergeCell ref="S37:V37"/>
    <mergeCell ref="S38:V38"/>
    <mergeCell ref="S39:V39"/>
    <mergeCell ref="S40:V40"/>
    <mergeCell ref="CC40:CD40"/>
    <mergeCell ref="CF40:CH40"/>
    <mergeCell ref="BR40:BS40"/>
    <mergeCell ref="BT40:BU40"/>
    <mergeCell ref="BV40:BX40"/>
    <mergeCell ref="CA40:CB40"/>
    <mergeCell ref="BO40:BQ40"/>
    <mergeCell ref="CA38:CB38"/>
    <mergeCell ref="CC38:CD38"/>
    <mergeCell ref="BR37:BS37"/>
    <mergeCell ref="BT37:BU37"/>
    <mergeCell ref="BV37:BX37"/>
    <mergeCell ref="BR38:BS38"/>
    <mergeCell ref="BR39:BS39"/>
    <mergeCell ref="BT39:BU39"/>
    <mergeCell ref="BV39:BX39"/>
    <mergeCell ref="CF39:CH39"/>
    <mergeCell ref="BO38:BQ38"/>
    <mergeCell ref="L35:N35"/>
    <mergeCell ref="L36:N36"/>
    <mergeCell ref="L37:N37"/>
    <mergeCell ref="L38:N38"/>
    <mergeCell ref="BT38:BU38"/>
    <mergeCell ref="BV38:BX38"/>
    <mergeCell ref="BO37:BQ37"/>
    <mergeCell ref="CA35:CI36"/>
    <mergeCell ref="BR36:BS36"/>
    <mergeCell ref="BT36:BU36"/>
    <mergeCell ref="BV36:BX36"/>
    <mergeCell ref="BO35:BQ35"/>
    <mergeCell ref="BO36:BQ36"/>
    <mergeCell ref="CF38:CH38"/>
    <mergeCell ref="BD38:BF38"/>
    <mergeCell ref="AY35:BG36"/>
    <mergeCell ref="BA38:BB38"/>
    <mergeCell ref="BD39:BF39"/>
    <mergeCell ref="AP38:AQ38"/>
  </mergeCells>
  <pageMargins left="0.7" right="0.7" top="0.75" bottom="0.75" header="0" footer="0"/>
  <pageSetup orientation="landscape" r:id="rId1"/>
  <headerFooter>
    <oddHeader>&amp;C&amp;F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X1000"/>
  <sheetViews>
    <sheetView workbookViewId="0">
      <pane xSplit="21" ySplit="167" topLeftCell="V168" activePane="bottomRight" state="frozen"/>
      <selection pane="topRight" activeCell="V1" sqref="V1"/>
      <selection pane="bottomLeft" activeCell="A168" sqref="A168"/>
      <selection pane="bottomRight" activeCell="V168" sqref="V168"/>
    </sheetView>
  </sheetViews>
  <sheetFormatPr baseColWidth="10" defaultColWidth="14.44140625" defaultRowHeight="15" customHeight="1" x14ac:dyDescent="0.25"/>
  <cols>
    <col min="1" max="1" width="14.77734375" customWidth="1"/>
    <col min="2" max="2" width="21.6640625" customWidth="1"/>
    <col min="3" max="3" width="28.44140625" customWidth="1"/>
    <col min="4" max="4" width="7.6640625" customWidth="1"/>
    <col min="5" max="5" width="8" customWidth="1"/>
    <col min="6" max="6" width="5.33203125" customWidth="1"/>
    <col min="7" max="7" width="12.33203125" customWidth="1"/>
    <col min="8" max="8" width="18.33203125" customWidth="1"/>
    <col min="9" max="9" width="2.6640625" customWidth="1"/>
    <col min="10" max="10" width="4.109375" hidden="1" customWidth="1"/>
    <col min="11" max="11" width="10" hidden="1" customWidth="1"/>
    <col min="12" max="12" width="5.6640625" hidden="1" customWidth="1"/>
    <col min="13" max="13" width="6.6640625" hidden="1" customWidth="1"/>
    <col min="14" max="14" width="10" hidden="1" customWidth="1"/>
    <col min="15" max="15" width="7.109375" hidden="1" customWidth="1"/>
    <col min="16" max="16" width="6.6640625" hidden="1" customWidth="1"/>
    <col min="17" max="17" width="10.6640625" hidden="1" customWidth="1"/>
    <col min="18" max="19" width="6.6640625" hidden="1" customWidth="1"/>
    <col min="20" max="20" width="10.6640625" hidden="1" customWidth="1"/>
    <col min="21" max="21" width="6.44140625" hidden="1" customWidth="1"/>
    <col min="22" max="22" width="6.6640625" customWidth="1"/>
    <col min="23" max="26" width="8" customWidth="1"/>
  </cols>
  <sheetData>
    <row r="1" spans="2:24" ht="12.75" customHeight="1" x14ac:dyDescent="0.25">
      <c r="B1" s="96"/>
      <c r="C1" s="96"/>
      <c r="D1" s="97"/>
      <c r="E1" s="97"/>
      <c r="F1" s="96"/>
      <c r="G1" s="96"/>
      <c r="H1" s="96"/>
      <c r="L1" s="138"/>
      <c r="O1" s="138"/>
      <c r="R1" s="138"/>
      <c r="U1" s="138"/>
      <c r="X1" s="138"/>
    </row>
    <row r="2" spans="2:24" ht="12.75" customHeight="1" x14ac:dyDescent="0.25">
      <c r="B2" s="96"/>
      <c r="C2" s="96"/>
      <c r="D2" s="97"/>
      <c r="E2" s="97"/>
      <c r="F2" s="96"/>
      <c r="G2" s="96"/>
      <c r="H2" s="96"/>
      <c r="L2" s="138"/>
      <c r="O2" s="138"/>
      <c r="R2" s="138"/>
      <c r="U2" s="138"/>
      <c r="X2" s="138"/>
    </row>
    <row r="3" spans="2:24" ht="12.75" customHeight="1" x14ac:dyDescent="0.25">
      <c r="B3" s="96"/>
      <c r="C3" s="96"/>
      <c r="D3" s="97"/>
      <c r="E3" s="97"/>
      <c r="F3" s="96"/>
      <c r="G3" s="96"/>
      <c r="H3" s="96"/>
      <c r="L3" s="138"/>
      <c r="O3" s="138"/>
      <c r="R3" s="138"/>
      <c r="U3" s="138"/>
      <c r="X3" s="138"/>
    </row>
    <row r="4" spans="2:24" ht="12.75" customHeight="1" x14ac:dyDescent="0.25">
      <c r="B4" s="96"/>
      <c r="C4" s="96"/>
      <c r="D4" s="97"/>
      <c r="E4" s="97"/>
      <c r="F4" s="96"/>
      <c r="G4" s="96"/>
      <c r="H4" s="96"/>
      <c r="L4" s="138"/>
      <c r="O4" s="138"/>
      <c r="R4" s="138"/>
      <c r="U4" s="138"/>
      <c r="X4" s="138"/>
    </row>
    <row r="5" spans="2:24" ht="12.75" customHeight="1" x14ac:dyDescent="0.25">
      <c r="B5" s="96"/>
      <c r="C5" s="96"/>
      <c r="D5" s="97"/>
      <c r="E5" s="97"/>
      <c r="F5" s="96"/>
      <c r="G5" s="96"/>
      <c r="H5" s="96"/>
      <c r="L5" s="138"/>
      <c r="O5" s="138"/>
      <c r="R5" s="138"/>
      <c r="U5" s="138"/>
      <c r="X5" s="138"/>
    </row>
    <row r="6" spans="2:24" ht="12.75" customHeight="1" x14ac:dyDescent="0.25">
      <c r="B6" s="96"/>
      <c r="C6" s="96"/>
      <c r="D6" s="97"/>
      <c r="E6" s="97"/>
      <c r="F6" s="96"/>
      <c r="G6" s="96"/>
      <c r="H6" s="96"/>
      <c r="L6" s="138"/>
      <c r="O6" s="138"/>
      <c r="R6" s="138"/>
      <c r="U6" s="138"/>
      <c r="X6" s="138"/>
    </row>
    <row r="7" spans="2:24" ht="12.75" customHeight="1" x14ac:dyDescent="0.25">
      <c r="B7" s="96"/>
      <c r="C7" s="96"/>
      <c r="D7" s="97"/>
      <c r="E7" s="97"/>
      <c r="F7" s="96"/>
      <c r="G7" s="96"/>
      <c r="H7" s="96"/>
      <c r="L7" s="138"/>
      <c r="O7" s="138"/>
      <c r="R7" s="138"/>
      <c r="U7" s="138"/>
      <c r="X7" s="138"/>
    </row>
    <row r="8" spans="2:24" ht="12.75" customHeight="1" x14ac:dyDescent="0.25">
      <c r="B8" s="96"/>
      <c r="C8" s="96"/>
      <c r="D8" s="97"/>
      <c r="E8" s="97"/>
      <c r="F8" s="96"/>
      <c r="G8" s="96"/>
      <c r="H8" s="96"/>
      <c r="L8" s="138"/>
      <c r="O8" s="138"/>
      <c r="R8" s="138"/>
      <c r="U8" s="138"/>
      <c r="X8" s="138"/>
    </row>
    <row r="9" spans="2:24" ht="12.75" customHeight="1" x14ac:dyDescent="0.25">
      <c r="B9" s="96"/>
      <c r="C9" s="96"/>
      <c r="D9" s="97"/>
      <c r="E9" s="97"/>
      <c r="F9" s="96"/>
      <c r="G9" s="96"/>
      <c r="H9" s="96"/>
      <c r="L9" s="138"/>
      <c r="O9" s="138"/>
      <c r="R9" s="138"/>
      <c r="U9" s="138"/>
      <c r="X9" s="138"/>
    </row>
    <row r="10" spans="2:24" ht="12.75" customHeight="1" x14ac:dyDescent="0.25">
      <c r="B10" s="96"/>
      <c r="C10" s="96"/>
      <c r="D10" s="97"/>
      <c r="E10" s="97"/>
      <c r="F10" s="96"/>
      <c r="G10" s="96"/>
      <c r="H10" s="96"/>
      <c r="L10" s="138"/>
      <c r="O10" s="138"/>
      <c r="R10" s="138"/>
      <c r="U10" s="138"/>
      <c r="X10" s="138"/>
    </row>
    <row r="11" spans="2:24" ht="12.75" customHeight="1" x14ac:dyDescent="0.25">
      <c r="B11" s="96"/>
      <c r="C11" s="96"/>
      <c r="D11" s="97"/>
      <c r="E11" s="97"/>
      <c r="F11" s="96"/>
      <c r="G11" s="96"/>
      <c r="H11" s="96"/>
      <c r="L11" s="138"/>
      <c r="O11" s="138"/>
      <c r="R11" s="138"/>
      <c r="U11" s="138"/>
      <c r="X11" s="138"/>
    </row>
    <row r="12" spans="2:24" ht="12.75" customHeight="1" x14ac:dyDescent="0.25">
      <c r="B12" s="96"/>
      <c r="C12" s="96"/>
      <c r="D12" s="97"/>
      <c r="E12" s="97"/>
      <c r="F12" s="96"/>
      <c r="G12" s="96"/>
      <c r="H12" s="96"/>
      <c r="L12" s="138"/>
      <c r="O12" s="138"/>
      <c r="R12" s="138"/>
      <c r="U12" s="138"/>
      <c r="X12" s="138"/>
    </row>
    <row r="13" spans="2:24" ht="12.75" customHeight="1" x14ac:dyDescent="0.25">
      <c r="B13" s="96"/>
      <c r="C13" s="96"/>
      <c r="D13" s="97"/>
      <c r="E13" s="97"/>
      <c r="F13" s="96"/>
      <c r="G13" s="96"/>
      <c r="H13" s="96"/>
      <c r="L13" s="138"/>
      <c r="O13" s="138"/>
      <c r="R13" s="138"/>
      <c r="U13" s="138"/>
      <c r="X13" s="138"/>
    </row>
    <row r="14" spans="2:24" ht="12.75" customHeight="1" x14ac:dyDescent="0.25">
      <c r="B14" s="96"/>
      <c r="C14" s="96"/>
      <c r="D14" s="97"/>
      <c r="E14" s="97"/>
      <c r="F14" s="96"/>
      <c r="G14" s="96"/>
      <c r="H14" s="96"/>
      <c r="L14" s="138"/>
      <c r="O14" s="138"/>
      <c r="R14" s="138"/>
      <c r="U14" s="138"/>
      <c r="X14" s="138"/>
    </row>
    <row r="15" spans="2:24" ht="12.75" customHeight="1" x14ac:dyDescent="0.25">
      <c r="B15" s="96"/>
      <c r="C15" s="96"/>
      <c r="D15" s="97"/>
      <c r="E15" s="97"/>
      <c r="F15" s="96"/>
      <c r="G15" s="96"/>
      <c r="H15" s="96"/>
      <c r="L15" s="138"/>
      <c r="O15" s="138"/>
      <c r="R15" s="138"/>
      <c r="U15" s="138"/>
      <c r="X15" s="138"/>
    </row>
    <row r="16" spans="2:24" ht="12.75" customHeight="1" x14ac:dyDescent="0.25">
      <c r="B16" s="96"/>
      <c r="C16" s="96"/>
      <c r="D16" s="97"/>
      <c r="E16" s="97"/>
      <c r="F16" s="96"/>
      <c r="G16" s="96"/>
      <c r="H16" s="96"/>
      <c r="L16" s="138"/>
      <c r="O16" s="138"/>
      <c r="R16" s="138"/>
      <c r="U16" s="138"/>
      <c r="X16" s="138"/>
    </row>
    <row r="17" spans="2:24" ht="12.75" customHeight="1" x14ac:dyDescent="0.25">
      <c r="B17" s="96"/>
      <c r="C17" s="96"/>
      <c r="D17" s="97"/>
      <c r="E17" s="97"/>
      <c r="F17" s="96"/>
      <c r="G17" s="96"/>
      <c r="H17" s="96"/>
      <c r="L17" s="138"/>
      <c r="O17" s="138"/>
      <c r="R17" s="138"/>
      <c r="U17" s="138"/>
      <c r="X17" s="138"/>
    </row>
    <row r="18" spans="2:24" ht="12.75" customHeight="1" x14ac:dyDescent="0.25">
      <c r="B18" s="96"/>
      <c r="C18" s="96"/>
      <c r="D18" s="97"/>
      <c r="E18" s="97"/>
      <c r="F18" s="96"/>
      <c r="G18" s="96"/>
      <c r="H18" s="96"/>
      <c r="L18" s="138"/>
      <c r="O18" s="138"/>
      <c r="R18" s="138"/>
      <c r="U18" s="138"/>
      <c r="X18" s="138"/>
    </row>
    <row r="19" spans="2:24" ht="12.75" customHeight="1" x14ac:dyDescent="0.25">
      <c r="B19" s="96"/>
      <c r="C19" s="96"/>
      <c r="D19" s="97"/>
      <c r="E19" s="97"/>
      <c r="F19" s="96"/>
      <c r="G19" s="96"/>
      <c r="H19" s="96"/>
      <c r="L19" s="138"/>
      <c r="O19" s="138"/>
      <c r="R19" s="138"/>
      <c r="U19" s="138"/>
      <c r="X19" s="138"/>
    </row>
    <row r="20" spans="2:24" ht="12.75" customHeight="1" x14ac:dyDescent="0.25">
      <c r="B20" s="96"/>
      <c r="C20" s="96"/>
      <c r="D20" s="97"/>
      <c r="E20" s="97"/>
      <c r="F20" s="96"/>
      <c r="G20" s="96"/>
      <c r="H20" s="96"/>
      <c r="L20" s="138"/>
      <c r="O20" s="138"/>
      <c r="R20" s="138"/>
      <c r="U20" s="138"/>
      <c r="X20" s="138"/>
    </row>
    <row r="21" spans="2:24" ht="12.75" customHeight="1" x14ac:dyDescent="0.25">
      <c r="B21" s="96"/>
      <c r="C21" s="96"/>
      <c r="D21" s="97"/>
      <c r="E21" s="97"/>
      <c r="F21" s="96"/>
      <c r="G21" s="96"/>
      <c r="H21" s="96"/>
      <c r="L21" s="138"/>
      <c r="O21" s="138"/>
      <c r="R21" s="138"/>
      <c r="U21" s="138"/>
      <c r="X21" s="138"/>
    </row>
    <row r="22" spans="2:24" ht="12.75" customHeight="1" x14ac:dyDescent="0.25">
      <c r="B22" s="96"/>
      <c r="C22" s="96"/>
      <c r="D22" s="97"/>
      <c r="E22" s="97"/>
      <c r="F22" s="96"/>
      <c r="G22" s="96"/>
      <c r="H22" s="96"/>
      <c r="L22" s="138"/>
      <c r="O22" s="138"/>
      <c r="R22" s="138"/>
      <c r="U22" s="138"/>
      <c r="X22" s="138"/>
    </row>
    <row r="23" spans="2:24" ht="12.75" customHeight="1" x14ac:dyDescent="0.25">
      <c r="B23" s="96"/>
      <c r="C23" s="96"/>
      <c r="D23" s="97"/>
      <c r="E23" s="97"/>
      <c r="F23" s="96"/>
      <c r="G23" s="96"/>
      <c r="H23" s="96"/>
      <c r="L23" s="138"/>
      <c r="O23" s="138"/>
      <c r="R23" s="138"/>
      <c r="U23" s="138"/>
      <c r="X23" s="138"/>
    </row>
    <row r="24" spans="2:24" ht="12.75" customHeight="1" x14ac:dyDescent="0.25">
      <c r="B24" s="96"/>
      <c r="C24" s="96"/>
      <c r="D24" s="97"/>
      <c r="E24" s="97"/>
      <c r="F24" s="96"/>
      <c r="G24" s="96"/>
      <c r="H24" s="96"/>
      <c r="L24" s="138"/>
      <c r="O24" s="138"/>
      <c r="R24" s="138"/>
      <c r="U24" s="138"/>
      <c r="X24" s="138"/>
    </row>
    <row r="25" spans="2:24" ht="12.75" customHeight="1" x14ac:dyDescent="0.25">
      <c r="B25" s="96"/>
      <c r="C25" s="96"/>
      <c r="D25" s="97"/>
      <c r="E25" s="97"/>
      <c r="F25" s="96"/>
      <c r="G25" s="96"/>
      <c r="H25" s="96"/>
      <c r="L25" s="138"/>
      <c r="O25" s="138"/>
      <c r="R25" s="138"/>
      <c r="U25" s="138"/>
      <c r="X25" s="138"/>
    </row>
    <row r="26" spans="2:24" ht="12.75" customHeight="1" x14ac:dyDescent="0.25">
      <c r="B26" s="96"/>
      <c r="C26" s="96"/>
      <c r="D26" s="97"/>
      <c r="E26" s="97"/>
      <c r="F26" s="96"/>
      <c r="G26" s="96"/>
      <c r="H26" s="96"/>
      <c r="L26" s="138"/>
      <c r="O26" s="138"/>
      <c r="R26" s="138"/>
      <c r="U26" s="138"/>
      <c r="X26" s="138"/>
    </row>
    <row r="27" spans="2:24" ht="12.75" customHeight="1" x14ac:dyDescent="0.25">
      <c r="B27" s="96"/>
      <c r="C27" s="96"/>
      <c r="D27" s="97"/>
      <c r="E27" s="97"/>
      <c r="F27" s="96"/>
      <c r="G27" s="96"/>
      <c r="H27" s="96"/>
      <c r="L27" s="138"/>
      <c r="O27" s="138"/>
      <c r="R27" s="138"/>
      <c r="U27" s="138"/>
      <c r="X27" s="138"/>
    </row>
    <row r="28" spans="2:24" ht="12.75" customHeight="1" x14ac:dyDescent="0.25">
      <c r="B28" s="96"/>
      <c r="C28" s="96"/>
      <c r="D28" s="97"/>
      <c r="E28" s="97"/>
      <c r="F28" s="96"/>
      <c r="G28" s="96"/>
      <c r="H28" s="96"/>
      <c r="L28" s="138"/>
      <c r="O28" s="138"/>
      <c r="R28" s="138"/>
      <c r="U28" s="138"/>
      <c r="X28" s="138"/>
    </row>
    <row r="29" spans="2:24" ht="12.75" customHeight="1" x14ac:dyDescent="0.25">
      <c r="B29" s="96"/>
      <c r="C29" s="96"/>
      <c r="D29" s="97"/>
      <c r="E29" s="97"/>
      <c r="F29" s="96"/>
      <c r="G29" s="96"/>
      <c r="H29" s="96"/>
      <c r="L29" s="138"/>
      <c r="O29" s="138"/>
      <c r="R29" s="138"/>
      <c r="U29" s="138"/>
      <c r="X29" s="138"/>
    </row>
    <row r="30" spans="2:24" ht="12.75" customHeight="1" x14ac:dyDescent="0.25">
      <c r="B30" s="96"/>
      <c r="C30" s="96"/>
      <c r="D30" s="97"/>
      <c r="E30" s="97"/>
      <c r="F30" s="96"/>
      <c r="G30" s="96"/>
      <c r="H30" s="96"/>
      <c r="L30" s="138"/>
      <c r="O30" s="138"/>
      <c r="R30" s="138"/>
      <c r="U30" s="138"/>
      <c r="X30" s="138"/>
    </row>
    <row r="31" spans="2:24" ht="12.75" customHeight="1" x14ac:dyDescent="0.25">
      <c r="B31" s="96"/>
      <c r="C31" s="96"/>
      <c r="D31" s="97"/>
      <c r="E31" s="97"/>
      <c r="F31" s="96"/>
      <c r="G31" s="96"/>
      <c r="H31" s="96"/>
      <c r="L31" s="138"/>
      <c r="O31" s="138"/>
      <c r="R31" s="138"/>
      <c r="U31" s="138"/>
      <c r="X31" s="138"/>
    </row>
    <row r="32" spans="2:24" ht="12.75" customHeight="1" x14ac:dyDescent="0.25">
      <c r="B32" s="96"/>
      <c r="C32" s="96"/>
      <c r="D32" s="97"/>
      <c r="E32" s="97"/>
      <c r="F32" s="96"/>
      <c r="G32" s="96"/>
      <c r="H32" s="96"/>
      <c r="L32" s="138"/>
      <c r="O32" s="138"/>
      <c r="R32" s="138"/>
      <c r="U32" s="138"/>
      <c r="X32" s="138"/>
    </row>
    <row r="33" spans="2:24" ht="12.75" customHeight="1" x14ac:dyDescent="0.25">
      <c r="B33" s="96"/>
      <c r="C33" s="96"/>
      <c r="D33" s="97"/>
      <c r="E33" s="97"/>
      <c r="F33" s="96"/>
      <c r="G33" s="96"/>
      <c r="H33" s="96"/>
      <c r="L33" s="138"/>
      <c r="O33" s="138"/>
      <c r="R33" s="138"/>
      <c r="U33" s="138"/>
      <c r="X33" s="138"/>
    </row>
    <row r="34" spans="2:24" ht="12.75" customHeight="1" x14ac:dyDescent="0.25">
      <c r="B34" s="96"/>
      <c r="C34" s="96"/>
      <c r="D34" s="97"/>
      <c r="E34" s="97"/>
      <c r="F34" s="96"/>
      <c r="G34" s="96"/>
      <c r="H34" s="96"/>
      <c r="L34" s="138"/>
      <c r="O34" s="138"/>
      <c r="R34" s="138"/>
      <c r="U34" s="138"/>
      <c r="X34" s="138"/>
    </row>
    <row r="35" spans="2:24" ht="12.75" customHeight="1" x14ac:dyDescent="0.25">
      <c r="B35" s="96"/>
      <c r="C35" s="96"/>
      <c r="D35" s="97"/>
      <c r="E35" s="97"/>
      <c r="F35" s="96"/>
      <c r="G35" s="96"/>
      <c r="H35" s="96"/>
      <c r="L35" s="138"/>
      <c r="O35" s="138"/>
      <c r="R35" s="138"/>
      <c r="U35" s="138"/>
      <c r="X35" s="138"/>
    </row>
    <row r="36" spans="2:24" ht="12.75" customHeight="1" x14ac:dyDescent="0.25">
      <c r="B36" s="96"/>
      <c r="C36" s="96"/>
      <c r="D36" s="97"/>
      <c r="E36" s="97"/>
      <c r="F36" s="96"/>
      <c r="G36" s="96"/>
      <c r="H36" s="96"/>
      <c r="L36" s="138"/>
      <c r="O36" s="138"/>
      <c r="R36" s="138"/>
      <c r="U36" s="138"/>
      <c r="X36" s="138"/>
    </row>
    <row r="37" spans="2:24" ht="12.75" customHeight="1" x14ac:dyDescent="0.25">
      <c r="B37" s="96"/>
      <c r="C37" s="96"/>
      <c r="D37" s="97"/>
      <c r="E37" s="97"/>
      <c r="F37" s="96"/>
      <c r="G37" s="96"/>
      <c r="H37" s="96"/>
      <c r="L37" s="138"/>
      <c r="O37" s="138"/>
      <c r="R37" s="138"/>
      <c r="U37" s="138"/>
      <c r="X37" s="138"/>
    </row>
    <row r="38" spans="2:24" ht="12.75" customHeight="1" x14ac:dyDescent="0.25">
      <c r="B38" s="96"/>
      <c r="C38" s="96"/>
      <c r="D38" s="97"/>
      <c r="E38" s="97"/>
      <c r="F38" s="96"/>
      <c r="G38" s="96"/>
      <c r="H38" s="96"/>
      <c r="L38" s="138"/>
      <c r="O38" s="138"/>
      <c r="R38" s="138"/>
      <c r="U38" s="138"/>
      <c r="X38" s="138"/>
    </row>
    <row r="39" spans="2:24" ht="12.75" customHeight="1" x14ac:dyDescent="0.25">
      <c r="B39" s="96"/>
      <c r="C39" s="96"/>
      <c r="D39" s="97"/>
      <c r="E39" s="97"/>
      <c r="F39" s="96"/>
      <c r="G39" s="96"/>
      <c r="H39" s="96"/>
      <c r="L39" s="138"/>
      <c r="O39" s="138"/>
      <c r="R39" s="138"/>
      <c r="U39" s="138"/>
      <c r="X39" s="138"/>
    </row>
    <row r="40" spans="2:24" ht="12.75" customHeight="1" x14ac:dyDescent="0.25">
      <c r="B40" s="96"/>
      <c r="C40" s="96"/>
      <c r="D40" s="97"/>
      <c r="E40" s="97"/>
      <c r="F40" s="96"/>
      <c r="G40" s="96"/>
      <c r="H40" s="96"/>
      <c r="L40" s="138"/>
      <c r="O40" s="138"/>
      <c r="R40" s="138"/>
      <c r="U40" s="138"/>
      <c r="X40" s="138"/>
    </row>
    <row r="41" spans="2:24" ht="12.75" customHeight="1" x14ac:dyDescent="0.25">
      <c r="B41" s="96"/>
      <c r="C41" s="96"/>
      <c r="D41" s="97"/>
      <c r="E41" s="97"/>
      <c r="F41" s="96"/>
      <c r="G41" s="96"/>
      <c r="H41" s="96"/>
      <c r="L41" s="138"/>
      <c r="O41" s="138"/>
      <c r="R41" s="138"/>
      <c r="U41" s="138"/>
      <c r="X41" s="138"/>
    </row>
    <row r="42" spans="2:24" ht="12.75" customHeight="1" x14ac:dyDescent="0.25">
      <c r="B42" s="96"/>
      <c r="C42" s="96"/>
      <c r="D42" s="97"/>
      <c r="E42" s="97"/>
      <c r="F42" s="96"/>
      <c r="G42" s="96"/>
      <c r="H42" s="96"/>
      <c r="L42" s="138"/>
      <c r="O42" s="138"/>
      <c r="R42" s="138"/>
      <c r="U42" s="138"/>
      <c r="X42" s="138"/>
    </row>
    <row r="43" spans="2:24" ht="12.75" customHeight="1" x14ac:dyDescent="0.25">
      <c r="B43" s="96"/>
      <c r="C43" s="96"/>
      <c r="D43" s="97"/>
      <c r="E43" s="97"/>
      <c r="F43" s="96"/>
      <c r="G43" s="96"/>
      <c r="H43" s="96"/>
      <c r="L43" s="138"/>
      <c r="O43" s="138"/>
      <c r="R43" s="138"/>
      <c r="U43" s="138"/>
      <c r="X43" s="138"/>
    </row>
    <row r="44" spans="2:24" ht="12.75" customHeight="1" x14ac:dyDescent="0.25">
      <c r="B44" s="96"/>
      <c r="C44" s="96"/>
      <c r="D44" s="97"/>
      <c r="E44" s="97"/>
      <c r="F44" s="96"/>
      <c r="G44" s="96"/>
      <c r="H44" s="96"/>
      <c r="L44" s="138"/>
      <c r="O44" s="138"/>
      <c r="R44" s="138"/>
      <c r="U44" s="138"/>
      <c r="X44" s="138"/>
    </row>
    <row r="45" spans="2:24" ht="12.75" customHeight="1" x14ac:dyDescent="0.25">
      <c r="B45" s="96"/>
      <c r="C45" s="96"/>
      <c r="D45" s="97"/>
      <c r="E45" s="97"/>
      <c r="F45" s="96"/>
      <c r="G45" s="96"/>
      <c r="H45" s="96"/>
      <c r="L45" s="138"/>
      <c r="O45" s="138"/>
      <c r="R45" s="138"/>
      <c r="U45" s="138"/>
      <c r="X45" s="138"/>
    </row>
    <row r="46" spans="2:24" ht="12.75" customHeight="1" x14ac:dyDescent="0.25">
      <c r="B46" s="96"/>
      <c r="C46" s="96"/>
      <c r="D46" s="97"/>
      <c r="E46" s="97"/>
      <c r="F46" s="96"/>
      <c r="G46" s="96"/>
      <c r="H46" s="96"/>
      <c r="L46" s="138"/>
      <c r="O46" s="138"/>
      <c r="R46" s="138"/>
      <c r="U46" s="138"/>
      <c r="X46" s="138"/>
    </row>
    <row r="47" spans="2:24" ht="12.75" customHeight="1" x14ac:dyDescent="0.25">
      <c r="B47" s="96"/>
      <c r="C47" s="96"/>
      <c r="D47" s="97"/>
      <c r="E47" s="97"/>
      <c r="F47" s="96"/>
      <c r="G47" s="96"/>
      <c r="H47" s="96"/>
      <c r="L47" s="138"/>
      <c r="O47" s="138"/>
      <c r="R47" s="138"/>
      <c r="U47" s="138"/>
      <c r="X47" s="138"/>
    </row>
    <row r="48" spans="2:24" ht="12.75" customHeight="1" x14ac:dyDescent="0.25">
      <c r="B48" s="96"/>
      <c r="C48" s="96"/>
      <c r="D48" s="97"/>
      <c r="E48" s="97"/>
      <c r="F48" s="96"/>
      <c r="G48" s="96"/>
      <c r="H48" s="96"/>
      <c r="L48" s="138"/>
      <c r="O48" s="138"/>
      <c r="R48" s="138"/>
      <c r="U48" s="138"/>
      <c r="X48" s="138"/>
    </row>
    <row r="49" spans="2:24" ht="12.75" customHeight="1" x14ac:dyDescent="0.25">
      <c r="B49" s="96"/>
      <c r="C49" s="96"/>
      <c r="D49" s="97"/>
      <c r="E49" s="97"/>
      <c r="F49" s="96"/>
      <c r="G49" s="96"/>
      <c r="H49" s="96"/>
      <c r="L49" s="138"/>
      <c r="O49" s="138"/>
      <c r="R49" s="138"/>
      <c r="U49" s="138"/>
      <c r="X49" s="138"/>
    </row>
    <row r="50" spans="2:24" ht="12.75" customHeight="1" x14ac:dyDescent="0.25">
      <c r="B50" s="96"/>
      <c r="C50" s="96"/>
      <c r="D50" s="97"/>
      <c r="E50" s="97"/>
      <c r="F50" s="96"/>
      <c r="G50" s="96"/>
      <c r="H50" s="96"/>
      <c r="L50" s="138"/>
      <c r="O50" s="138"/>
      <c r="R50" s="138"/>
      <c r="U50" s="138"/>
      <c r="X50" s="138"/>
    </row>
    <row r="51" spans="2:24" ht="12.75" customHeight="1" x14ac:dyDescent="0.25">
      <c r="B51" s="96"/>
      <c r="C51" s="96"/>
      <c r="D51" s="97"/>
      <c r="E51" s="97"/>
      <c r="F51" s="96"/>
      <c r="G51" s="96"/>
      <c r="H51" s="96"/>
      <c r="L51" s="138"/>
      <c r="O51" s="138"/>
      <c r="R51" s="138"/>
      <c r="U51" s="138"/>
      <c r="X51" s="138"/>
    </row>
    <row r="52" spans="2:24" ht="12.75" customHeight="1" x14ac:dyDescent="0.25">
      <c r="B52" s="96"/>
      <c r="C52" s="96"/>
      <c r="D52" s="97"/>
      <c r="E52" s="97"/>
      <c r="F52" s="96"/>
      <c r="G52" s="96"/>
      <c r="H52" s="96"/>
      <c r="L52" s="138"/>
      <c r="O52" s="138"/>
      <c r="R52" s="138"/>
      <c r="U52" s="138"/>
      <c r="X52" s="138"/>
    </row>
    <row r="53" spans="2:24" ht="12.75" customHeight="1" x14ac:dyDescent="0.25">
      <c r="B53" s="96"/>
      <c r="C53" s="96"/>
      <c r="D53" s="97"/>
      <c r="E53" s="97"/>
      <c r="F53" s="96"/>
      <c r="G53" s="96"/>
      <c r="H53" s="96"/>
      <c r="L53" s="138"/>
      <c r="O53" s="138"/>
      <c r="R53" s="138"/>
      <c r="U53" s="138"/>
      <c r="X53" s="138"/>
    </row>
    <row r="54" spans="2:24" ht="12.75" customHeight="1" x14ac:dyDescent="0.25">
      <c r="B54" s="96"/>
      <c r="C54" s="96"/>
      <c r="D54" s="97"/>
      <c r="E54" s="97"/>
      <c r="F54" s="96"/>
      <c r="G54" s="96"/>
      <c r="H54" s="96"/>
      <c r="L54" s="138"/>
      <c r="O54" s="138"/>
      <c r="R54" s="138"/>
      <c r="U54" s="138"/>
      <c r="X54" s="138"/>
    </row>
    <row r="55" spans="2:24" ht="12.75" customHeight="1" x14ac:dyDescent="0.25">
      <c r="B55" s="96"/>
      <c r="C55" s="96"/>
      <c r="D55" s="97"/>
      <c r="E55" s="97"/>
      <c r="F55" s="96"/>
      <c r="G55" s="96"/>
      <c r="H55" s="96"/>
      <c r="L55" s="138"/>
      <c r="O55" s="138"/>
      <c r="R55" s="138"/>
      <c r="U55" s="138"/>
      <c r="X55" s="138"/>
    </row>
    <row r="56" spans="2:24" ht="12.75" customHeight="1" x14ac:dyDescent="0.25">
      <c r="B56" s="96"/>
      <c r="C56" s="96"/>
      <c r="D56" s="97"/>
      <c r="E56" s="97"/>
      <c r="F56" s="96"/>
      <c r="G56" s="96"/>
      <c r="H56" s="96"/>
      <c r="L56" s="138"/>
      <c r="O56" s="138"/>
      <c r="R56" s="138"/>
      <c r="U56" s="138"/>
      <c r="X56" s="138"/>
    </row>
    <row r="57" spans="2:24" ht="12.75" customHeight="1" x14ac:dyDescent="0.25">
      <c r="B57" s="96"/>
      <c r="C57" s="96"/>
      <c r="D57" s="97"/>
      <c r="E57" s="97"/>
      <c r="F57" s="96"/>
      <c r="G57" s="96"/>
      <c r="H57" s="96"/>
      <c r="L57" s="138"/>
      <c r="O57" s="138"/>
      <c r="R57" s="138"/>
      <c r="U57" s="138"/>
      <c r="X57" s="138"/>
    </row>
    <row r="58" spans="2:24" ht="12.75" customHeight="1" x14ac:dyDescent="0.25">
      <c r="B58" s="96"/>
      <c r="C58" s="96"/>
      <c r="D58" s="97"/>
      <c r="E58" s="97"/>
      <c r="F58" s="96"/>
      <c r="G58" s="96"/>
      <c r="H58" s="96"/>
      <c r="L58" s="138"/>
      <c r="O58" s="138"/>
      <c r="R58" s="138"/>
      <c r="U58" s="138"/>
      <c r="X58" s="138"/>
    </row>
    <row r="59" spans="2:24" ht="12.75" customHeight="1" x14ac:dyDescent="0.25">
      <c r="B59" s="96"/>
      <c r="C59" s="96"/>
      <c r="D59" s="138"/>
      <c r="E59" s="138"/>
      <c r="F59" s="96"/>
      <c r="G59" s="96"/>
      <c r="H59" s="96"/>
      <c r="L59" s="138"/>
      <c r="O59" s="138"/>
      <c r="R59" s="138"/>
      <c r="U59" s="138"/>
      <c r="X59" s="138"/>
    </row>
    <row r="60" spans="2:24" ht="12.75" customHeight="1" x14ac:dyDescent="0.25">
      <c r="B60" s="96"/>
      <c r="C60" s="96"/>
      <c r="D60" s="138"/>
      <c r="E60" s="138"/>
      <c r="G60" s="96"/>
      <c r="H60" s="96"/>
      <c r="L60" s="138"/>
      <c r="O60" s="138"/>
      <c r="R60" s="138"/>
      <c r="U60" s="138"/>
      <c r="X60" s="138"/>
    </row>
    <row r="61" spans="2:24" ht="12.75" customHeight="1" x14ac:dyDescent="0.25">
      <c r="D61" s="138"/>
      <c r="E61" s="138"/>
      <c r="L61" s="138"/>
      <c r="O61" s="138"/>
      <c r="R61" s="138"/>
      <c r="U61" s="138"/>
      <c r="X61" s="138"/>
    </row>
    <row r="62" spans="2:24" ht="12.75" customHeight="1" x14ac:dyDescent="0.25">
      <c r="D62" s="138"/>
      <c r="E62" s="138"/>
      <c r="L62" s="138"/>
      <c r="O62" s="138"/>
      <c r="R62" s="138"/>
      <c r="U62" s="138"/>
      <c r="X62" s="138"/>
    </row>
    <row r="63" spans="2:24" ht="12.75" customHeight="1" x14ac:dyDescent="0.25">
      <c r="D63" s="138"/>
      <c r="E63" s="138"/>
      <c r="L63" s="138"/>
      <c r="O63" s="138"/>
      <c r="R63" s="138"/>
      <c r="U63" s="138"/>
      <c r="X63" s="138"/>
    </row>
    <row r="64" spans="2:24" ht="12.75" customHeight="1" x14ac:dyDescent="0.25">
      <c r="D64" s="138"/>
      <c r="E64" s="138"/>
      <c r="L64" s="138"/>
      <c r="O64" s="138"/>
      <c r="R64" s="138"/>
      <c r="U64" s="138"/>
      <c r="X64" s="138"/>
    </row>
    <row r="65" spans="4:24" ht="12.75" customHeight="1" x14ac:dyDescent="0.25">
      <c r="D65" s="138"/>
      <c r="E65" s="138"/>
      <c r="L65" s="138"/>
      <c r="O65" s="138"/>
      <c r="R65" s="138"/>
      <c r="U65" s="138"/>
      <c r="X65" s="138"/>
    </row>
    <row r="66" spans="4:24" ht="12.75" customHeight="1" x14ac:dyDescent="0.25">
      <c r="D66" s="138"/>
      <c r="E66" s="138"/>
      <c r="L66" s="138"/>
      <c r="O66" s="138"/>
      <c r="R66" s="138"/>
      <c r="U66" s="138"/>
      <c r="X66" s="138"/>
    </row>
    <row r="67" spans="4:24" ht="12.75" customHeight="1" x14ac:dyDescent="0.25">
      <c r="D67" s="138"/>
      <c r="E67" s="138"/>
      <c r="L67" s="138"/>
      <c r="O67" s="138"/>
      <c r="R67" s="138"/>
      <c r="U67" s="138"/>
      <c r="X67" s="138"/>
    </row>
    <row r="68" spans="4:24" ht="12.75" customHeight="1" x14ac:dyDescent="0.25">
      <c r="D68" s="138"/>
      <c r="E68" s="138"/>
      <c r="L68" s="138"/>
      <c r="O68" s="138"/>
      <c r="R68" s="138"/>
      <c r="U68" s="138"/>
      <c r="X68" s="138"/>
    </row>
    <row r="69" spans="4:24" ht="12.75" customHeight="1" x14ac:dyDescent="0.25">
      <c r="D69" s="138"/>
      <c r="E69" s="138"/>
      <c r="L69" s="138"/>
      <c r="O69" s="138"/>
      <c r="R69" s="138"/>
      <c r="U69" s="138"/>
      <c r="X69" s="138"/>
    </row>
    <row r="70" spans="4:24" ht="12.75" customHeight="1" x14ac:dyDescent="0.25">
      <c r="D70" s="138"/>
      <c r="E70" s="138"/>
      <c r="L70" s="138"/>
      <c r="O70" s="138"/>
      <c r="R70" s="138"/>
      <c r="U70" s="138"/>
      <c r="X70" s="138"/>
    </row>
    <row r="71" spans="4:24" ht="12.75" customHeight="1" x14ac:dyDescent="0.25">
      <c r="D71" s="138"/>
      <c r="E71" s="138"/>
      <c r="L71" s="138"/>
      <c r="O71" s="138"/>
      <c r="R71" s="138"/>
      <c r="U71" s="138"/>
      <c r="X71" s="138"/>
    </row>
    <row r="72" spans="4:24" ht="12.75" customHeight="1" x14ac:dyDescent="0.25">
      <c r="D72" s="138"/>
      <c r="E72" s="138"/>
      <c r="L72" s="138"/>
      <c r="O72" s="138"/>
      <c r="R72" s="138"/>
      <c r="U72" s="138"/>
      <c r="X72" s="138"/>
    </row>
    <row r="73" spans="4:24" ht="12.75" customHeight="1" x14ac:dyDescent="0.25">
      <c r="D73" s="138"/>
      <c r="E73" s="138"/>
      <c r="L73" s="138"/>
      <c r="O73" s="138"/>
      <c r="R73" s="138"/>
      <c r="U73" s="138"/>
      <c r="X73" s="138"/>
    </row>
    <row r="74" spans="4:24" ht="12.75" customHeight="1" x14ac:dyDescent="0.25">
      <c r="D74" s="138"/>
      <c r="E74" s="138"/>
      <c r="L74" s="138"/>
      <c r="O74" s="138"/>
      <c r="R74" s="138"/>
      <c r="U74" s="138"/>
      <c r="X74" s="138"/>
    </row>
    <row r="75" spans="4:24" ht="12.75" customHeight="1" x14ac:dyDescent="0.25">
      <c r="D75" s="138"/>
      <c r="E75" s="138"/>
      <c r="L75" s="138"/>
      <c r="O75" s="138"/>
      <c r="R75" s="138"/>
      <c r="U75" s="138"/>
      <c r="X75" s="138"/>
    </row>
    <row r="76" spans="4:24" ht="12.75" customHeight="1" x14ac:dyDescent="0.25">
      <c r="D76" s="138"/>
      <c r="E76" s="138"/>
      <c r="L76" s="138"/>
      <c r="O76" s="138"/>
      <c r="R76" s="138"/>
      <c r="U76" s="138"/>
      <c r="X76" s="138"/>
    </row>
    <row r="77" spans="4:24" ht="12.75" customHeight="1" x14ac:dyDescent="0.25">
      <c r="D77" s="138"/>
      <c r="E77" s="138"/>
      <c r="L77" s="138"/>
      <c r="O77" s="138"/>
      <c r="R77" s="138"/>
      <c r="U77" s="138"/>
      <c r="X77" s="138"/>
    </row>
    <row r="78" spans="4:24" ht="12.75" customHeight="1" x14ac:dyDescent="0.25">
      <c r="D78" s="138"/>
      <c r="E78" s="138"/>
      <c r="L78" s="138"/>
      <c r="O78" s="138"/>
      <c r="R78" s="138"/>
      <c r="U78" s="138"/>
      <c r="X78" s="138"/>
    </row>
    <row r="79" spans="4:24" ht="12.75" customHeight="1" x14ac:dyDescent="0.25">
      <c r="D79" s="138"/>
      <c r="E79" s="138"/>
      <c r="L79" s="138"/>
      <c r="O79" s="138"/>
      <c r="R79" s="138"/>
      <c r="U79" s="138"/>
      <c r="X79" s="138"/>
    </row>
    <row r="80" spans="4:24" ht="12.75" customHeight="1" x14ac:dyDescent="0.25">
      <c r="D80" s="138"/>
      <c r="E80" s="138"/>
      <c r="L80" s="138"/>
      <c r="O80" s="138"/>
      <c r="R80" s="138"/>
      <c r="U80" s="138"/>
      <c r="X80" s="138"/>
    </row>
    <row r="81" spans="4:24" ht="12.75" customHeight="1" x14ac:dyDescent="0.25">
      <c r="D81" s="138"/>
      <c r="E81" s="138"/>
      <c r="L81" s="138"/>
      <c r="O81" s="138"/>
      <c r="R81" s="138"/>
      <c r="U81" s="138"/>
      <c r="X81" s="138"/>
    </row>
    <row r="82" spans="4:24" ht="12.75" customHeight="1" x14ac:dyDescent="0.25">
      <c r="D82" s="138"/>
      <c r="E82" s="138"/>
      <c r="L82" s="138"/>
      <c r="O82" s="138"/>
      <c r="R82" s="138"/>
      <c r="U82" s="138"/>
      <c r="X82" s="138"/>
    </row>
    <row r="83" spans="4:24" ht="12.75" customHeight="1" x14ac:dyDescent="0.25">
      <c r="D83" s="138"/>
      <c r="E83" s="138"/>
      <c r="L83" s="138"/>
      <c r="O83" s="138"/>
      <c r="R83" s="138"/>
      <c r="U83" s="138"/>
      <c r="X83" s="138"/>
    </row>
    <row r="84" spans="4:24" ht="12.75" customHeight="1" x14ac:dyDescent="0.25">
      <c r="D84" s="138"/>
      <c r="E84" s="138"/>
      <c r="L84" s="138"/>
      <c r="O84" s="138"/>
      <c r="R84" s="138"/>
      <c r="U84" s="138"/>
      <c r="X84" s="138"/>
    </row>
    <row r="85" spans="4:24" ht="12.75" customHeight="1" x14ac:dyDescent="0.25">
      <c r="D85" s="138"/>
      <c r="E85" s="138"/>
      <c r="L85" s="138"/>
      <c r="O85" s="138"/>
      <c r="R85" s="138"/>
      <c r="U85" s="138"/>
      <c r="X85" s="138"/>
    </row>
    <row r="86" spans="4:24" ht="12.75" customHeight="1" x14ac:dyDescent="0.25">
      <c r="D86" s="138"/>
      <c r="E86" s="138"/>
      <c r="L86" s="138"/>
      <c r="O86" s="138"/>
      <c r="R86" s="138"/>
      <c r="U86" s="138"/>
      <c r="X86" s="138"/>
    </row>
    <row r="87" spans="4:24" ht="12.75" customHeight="1" x14ac:dyDescent="0.25">
      <c r="D87" s="138"/>
      <c r="E87" s="138"/>
      <c r="L87" s="138"/>
      <c r="O87" s="138"/>
      <c r="R87" s="138"/>
      <c r="U87" s="138"/>
      <c r="X87" s="138"/>
    </row>
    <row r="88" spans="4:24" ht="12.75" customHeight="1" x14ac:dyDescent="0.25">
      <c r="D88" s="138"/>
      <c r="E88" s="138"/>
      <c r="L88" s="138"/>
      <c r="O88" s="138"/>
      <c r="R88" s="138"/>
      <c r="U88" s="138"/>
      <c r="X88" s="138"/>
    </row>
    <row r="89" spans="4:24" ht="12.75" customHeight="1" x14ac:dyDescent="0.25">
      <c r="D89" s="138"/>
      <c r="E89" s="138"/>
      <c r="L89" s="138"/>
      <c r="O89" s="138"/>
      <c r="R89" s="138"/>
      <c r="U89" s="138"/>
      <c r="X89" s="138"/>
    </row>
    <row r="90" spans="4:24" ht="12.75" customHeight="1" x14ac:dyDescent="0.25">
      <c r="D90" s="138"/>
      <c r="E90" s="138"/>
      <c r="L90" s="138"/>
      <c r="O90" s="138"/>
      <c r="R90" s="138"/>
      <c r="U90" s="138"/>
      <c r="X90" s="138"/>
    </row>
    <row r="91" spans="4:24" ht="12.75" customHeight="1" x14ac:dyDescent="0.25">
      <c r="D91" s="138"/>
      <c r="E91" s="138"/>
      <c r="L91" s="138"/>
      <c r="O91" s="138"/>
      <c r="R91" s="138"/>
      <c r="U91" s="138"/>
      <c r="X91" s="138"/>
    </row>
    <row r="92" spans="4:24" ht="12.75" customHeight="1" x14ac:dyDescent="0.25">
      <c r="D92" s="138"/>
      <c r="E92" s="138"/>
      <c r="L92" s="138"/>
      <c r="O92" s="138"/>
      <c r="R92" s="138"/>
      <c r="U92" s="138"/>
      <c r="X92" s="138"/>
    </row>
    <row r="93" spans="4:24" ht="12.75" customHeight="1" x14ac:dyDescent="0.25">
      <c r="D93" s="138"/>
      <c r="E93" s="138"/>
      <c r="L93" s="138"/>
      <c r="O93" s="138"/>
      <c r="R93" s="138"/>
      <c r="U93" s="138"/>
      <c r="X93" s="138"/>
    </row>
    <row r="94" spans="4:24" ht="12.75" customHeight="1" x14ac:dyDescent="0.25">
      <c r="D94" s="138"/>
      <c r="E94" s="138"/>
      <c r="L94" s="138"/>
      <c r="O94" s="138"/>
      <c r="R94" s="138"/>
      <c r="U94" s="138"/>
      <c r="X94" s="138"/>
    </row>
    <row r="95" spans="4:24" ht="12.75" customHeight="1" x14ac:dyDescent="0.25">
      <c r="D95" s="138"/>
      <c r="E95" s="138"/>
      <c r="L95" s="138"/>
      <c r="O95" s="138"/>
      <c r="R95" s="138"/>
      <c r="U95" s="138"/>
      <c r="X95" s="138"/>
    </row>
    <row r="96" spans="4:24" ht="12.75" customHeight="1" x14ac:dyDescent="0.25">
      <c r="D96" s="138"/>
      <c r="E96" s="138"/>
      <c r="L96" s="138"/>
      <c r="O96" s="138"/>
      <c r="R96" s="138"/>
      <c r="U96" s="138"/>
      <c r="X96" s="138"/>
    </row>
    <row r="97" spans="4:24" ht="12.75" customHeight="1" x14ac:dyDescent="0.25">
      <c r="D97" s="138"/>
      <c r="E97" s="138"/>
      <c r="L97" s="138"/>
      <c r="O97" s="138"/>
      <c r="R97" s="138"/>
      <c r="U97" s="138"/>
      <c r="X97" s="138"/>
    </row>
    <row r="98" spans="4:24" ht="12.75" customHeight="1" x14ac:dyDescent="0.25">
      <c r="D98" s="138"/>
      <c r="E98" s="138"/>
      <c r="L98" s="138"/>
      <c r="O98" s="138"/>
      <c r="R98" s="138"/>
      <c r="U98" s="138"/>
      <c r="X98" s="138"/>
    </row>
    <row r="99" spans="4:24" ht="12.75" customHeight="1" x14ac:dyDescent="0.25">
      <c r="D99" s="138"/>
      <c r="E99" s="138"/>
      <c r="L99" s="138"/>
      <c r="O99" s="138"/>
      <c r="R99" s="138"/>
      <c r="U99" s="138"/>
      <c r="X99" s="138"/>
    </row>
    <row r="100" spans="4:24" ht="12.75" customHeight="1" x14ac:dyDescent="0.25">
      <c r="D100" s="138"/>
      <c r="E100" s="138"/>
      <c r="L100" s="138"/>
      <c r="O100" s="138"/>
      <c r="R100" s="138"/>
      <c r="U100" s="138"/>
      <c r="X100" s="138"/>
    </row>
    <row r="101" spans="4:24" ht="12.75" customHeight="1" x14ac:dyDescent="0.25">
      <c r="D101" s="138"/>
      <c r="E101" s="138"/>
      <c r="L101" s="138"/>
      <c r="O101" s="138"/>
      <c r="R101" s="138"/>
      <c r="U101" s="138"/>
      <c r="X101" s="138"/>
    </row>
    <row r="102" spans="4:24" ht="12.75" customHeight="1" x14ac:dyDescent="0.25">
      <c r="D102" s="138"/>
      <c r="E102" s="138"/>
      <c r="L102" s="138"/>
      <c r="O102" s="138"/>
      <c r="R102" s="138"/>
      <c r="U102" s="138"/>
      <c r="X102" s="138"/>
    </row>
    <row r="103" spans="4:24" ht="12.75" customHeight="1" x14ac:dyDescent="0.25">
      <c r="D103" s="138"/>
      <c r="E103" s="138"/>
      <c r="L103" s="138"/>
      <c r="O103" s="138"/>
      <c r="R103" s="138"/>
      <c r="U103" s="138"/>
      <c r="X103" s="138"/>
    </row>
    <row r="104" spans="4:24" ht="12.75" customHeight="1" x14ac:dyDescent="0.25">
      <c r="D104" s="138"/>
      <c r="E104" s="138"/>
      <c r="L104" s="138"/>
      <c r="O104" s="138"/>
      <c r="R104" s="138"/>
      <c r="U104" s="138"/>
      <c r="X104" s="138"/>
    </row>
    <row r="105" spans="4:24" ht="12.75" customHeight="1" x14ac:dyDescent="0.25">
      <c r="D105" s="138"/>
      <c r="E105" s="138"/>
      <c r="L105" s="138"/>
      <c r="O105" s="138"/>
      <c r="R105" s="138"/>
      <c r="U105" s="138"/>
      <c r="X105" s="138"/>
    </row>
    <row r="106" spans="4:24" ht="12.75" customHeight="1" x14ac:dyDescent="0.25">
      <c r="D106" s="138"/>
      <c r="E106" s="138"/>
      <c r="L106" s="138"/>
      <c r="O106" s="138"/>
      <c r="R106" s="138"/>
      <c r="U106" s="138"/>
      <c r="X106" s="138"/>
    </row>
    <row r="107" spans="4:24" ht="12.75" customHeight="1" x14ac:dyDescent="0.25">
      <c r="D107" s="138"/>
      <c r="E107" s="138"/>
      <c r="L107" s="138"/>
      <c r="O107" s="138"/>
      <c r="R107" s="138"/>
      <c r="U107" s="138"/>
      <c r="X107" s="138"/>
    </row>
    <row r="108" spans="4:24" ht="12.75" customHeight="1" x14ac:dyDescent="0.25">
      <c r="D108" s="138"/>
      <c r="E108" s="138"/>
      <c r="L108" s="138"/>
      <c r="O108" s="138"/>
      <c r="R108" s="138"/>
      <c r="U108" s="138"/>
      <c r="X108" s="138"/>
    </row>
    <row r="109" spans="4:24" ht="12.75" customHeight="1" x14ac:dyDescent="0.25">
      <c r="D109" s="138"/>
      <c r="E109" s="138"/>
      <c r="L109" s="138"/>
      <c r="O109" s="138"/>
      <c r="R109" s="138"/>
      <c r="U109" s="138"/>
      <c r="X109" s="138"/>
    </row>
    <row r="110" spans="4:24" ht="12.75" customHeight="1" x14ac:dyDescent="0.25">
      <c r="D110" s="138"/>
      <c r="E110" s="138"/>
      <c r="L110" s="138"/>
      <c r="O110" s="138"/>
      <c r="R110" s="138"/>
      <c r="U110" s="138"/>
      <c r="X110" s="138"/>
    </row>
    <row r="111" spans="4:24" ht="12.75" customHeight="1" x14ac:dyDescent="0.25">
      <c r="D111" s="138"/>
      <c r="E111" s="138"/>
      <c r="L111" s="138"/>
      <c r="O111" s="138"/>
      <c r="R111" s="138"/>
      <c r="U111" s="138"/>
      <c r="X111" s="138"/>
    </row>
    <row r="112" spans="4:24" ht="12.75" customHeight="1" x14ac:dyDescent="0.25">
      <c r="D112" s="138"/>
      <c r="E112" s="138"/>
      <c r="L112" s="138"/>
      <c r="O112" s="138"/>
      <c r="R112" s="138"/>
      <c r="U112" s="138"/>
      <c r="X112" s="138"/>
    </row>
    <row r="113" spans="4:24" ht="12.75" customHeight="1" x14ac:dyDescent="0.25">
      <c r="D113" s="138"/>
      <c r="E113" s="138"/>
      <c r="L113" s="138"/>
      <c r="O113" s="138"/>
      <c r="R113" s="138"/>
      <c r="U113" s="138"/>
      <c r="X113" s="138"/>
    </row>
    <row r="114" spans="4:24" ht="12.75" customHeight="1" x14ac:dyDescent="0.25">
      <c r="D114" s="138"/>
      <c r="E114" s="138"/>
      <c r="L114" s="138"/>
      <c r="O114" s="138"/>
      <c r="R114" s="138"/>
      <c r="U114" s="138"/>
      <c r="X114" s="138"/>
    </row>
    <row r="115" spans="4:24" ht="12.75" customHeight="1" x14ac:dyDescent="0.25">
      <c r="D115" s="138"/>
      <c r="E115" s="138"/>
      <c r="L115" s="138"/>
      <c r="O115" s="138"/>
      <c r="R115" s="138"/>
      <c r="U115" s="138"/>
      <c r="X115" s="138"/>
    </row>
    <row r="116" spans="4:24" ht="12.75" customHeight="1" x14ac:dyDescent="0.25">
      <c r="D116" s="138"/>
      <c r="E116" s="138"/>
      <c r="L116" s="138"/>
      <c r="O116" s="138"/>
      <c r="R116" s="138"/>
      <c r="U116" s="138"/>
      <c r="X116" s="138"/>
    </row>
    <row r="117" spans="4:24" ht="12.75" customHeight="1" x14ac:dyDescent="0.25">
      <c r="D117" s="138"/>
      <c r="E117" s="138"/>
      <c r="L117" s="138"/>
      <c r="O117" s="138"/>
      <c r="R117" s="138"/>
      <c r="U117" s="138"/>
      <c r="X117" s="138"/>
    </row>
    <row r="118" spans="4:24" ht="12.75" customHeight="1" x14ac:dyDescent="0.25">
      <c r="D118" s="138"/>
      <c r="E118" s="138"/>
      <c r="L118" s="138"/>
      <c r="O118" s="138"/>
      <c r="R118" s="138"/>
      <c r="U118" s="138"/>
      <c r="X118" s="138"/>
    </row>
    <row r="119" spans="4:24" ht="12.75" customHeight="1" x14ac:dyDescent="0.25">
      <c r="D119" s="138"/>
      <c r="E119" s="138"/>
      <c r="L119" s="138"/>
      <c r="O119" s="138"/>
      <c r="R119" s="138"/>
      <c r="U119" s="138"/>
      <c r="X119" s="138"/>
    </row>
    <row r="120" spans="4:24" ht="12.75" customHeight="1" x14ac:dyDescent="0.25">
      <c r="D120" s="138"/>
      <c r="E120" s="138"/>
      <c r="L120" s="138"/>
      <c r="O120" s="138"/>
      <c r="R120" s="138"/>
      <c r="U120" s="138"/>
      <c r="X120" s="138"/>
    </row>
    <row r="121" spans="4:24" ht="12.75" customHeight="1" x14ac:dyDescent="0.25">
      <c r="D121" s="138"/>
      <c r="E121" s="138"/>
      <c r="L121" s="138"/>
      <c r="O121" s="138"/>
      <c r="R121" s="138"/>
      <c r="U121" s="138"/>
      <c r="X121" s="138"/>
    </row>
    <row r="122" spans="4:24" ht="12.75" customHeight="1" x14ac:dyDescent="0.25">
      <c r="D122" s="138"/>
      <c r="E122" s="138"/>
      <c r="L122" s="138"/>
      <c r="O122" s="138"/>
      <c r="R122" s="138"/>
      <c r="U122" s="138"/>
      <c r="X122" s="138"/>
    </row>
    <row r="123" spans="4:24" ht="12.75" customHeight="1" x14ac:dyDescent="0.25">
      <c r="D123" s="138"/>
      <c r="E123" s="138"/>
      <c r="L123" s="138"/>
      <c r="O123" s="138"/>
      <c r="R123" s="138"/>
      <c r="U123" s="138"/>
      <c r="X123" s="138"/>
    </row>
    <row r="124" spans="4:24" ht="12.75" customHeight="1" x14ac:dyDescent="0.25">
      <c r="D124" s="138"/>
      <c r="E124" s="138"/>
      <c r="L124" s="138"/>
      <c r="O124" s="138"/>
      <c r="R124" s="138"/>
      <c r="U124" s="138"/>
      <c r="X124" s="138"/>
    </row>
    <row r="125" spans="4:24" ht="12.75" customHeight="1" x14ac:dyDescent="0.25">
      <c r="D125" s="138"/>
      <c r="E125" s="138"/>
      <c r="L125" s="138"/>
      <c r="O125" s="138"/>
      <c r="R125" s="138"/>
      <c r="U125" s="138"/>
      <c r="X125" s="138"/>
    </row>
    <row r="126" spans="4:24" ht="12.75" customHeight="1" x14ac:dyDescent="0.25">
      <c r="D126" s="138"/>
      <c r="E126" s="138"/>
      <c r="L126" s="138"/>
      <c r="O126" s="138"/>
      <c r="R126" s="138"/>
      <c r="U126" s="138"/>
      <c r="X126" s="138"/>
    </row>
    <row r="127" spans="4:24" ht="12.75" customHeight="1" x14ac:dyDescent="0.25">
      <c r="D127" s="138"/>
      <c r="E127" s="138"/>
      <c r="L127" s="138"/>
      <c r="O127" s="138"/>
      <c r="R127" s="138"/>
      <c r="U127" s="138"/>
      <c r="X127" s="138"/>
    </row>
    <row r="128" spans="4:24" ht="12.75" customHeight="1" x14ac:dyDescent="0.25">
      <c r="D128" s="138"/>
      <c r="E128" s="138"/>
      <c r="L128" s="138"/>
      <c r="O128" s="138"/>
      <c r="R128" s="138"/>
      <c r="U128" s="138"/>
      <c r="X128" s="138"/>
    </row>
    <row r="129" spans="4:24" ht="12.75" customHeight="1" x14ac:dyDescent="0.25">
      <c r="D129" s="138"/>
      <c r="E129" s="138"/>
      <c r="L129" s="138"/>
      <c r="O129" s="138"/>
      <c r="R129" s="138"/>
      <c r="U129" s="138"/>
      <c r="X129" s="138"/>
    </row>
    <row r="130" spans="4:24" ht="12.75" customHeight="1" x14ac:dyDescent="0.25">
      <c r="D130" s="138"/>
      <c r="E130" s="138"/>
      <c r="L130" s="138"/>
      <c r="O130" s="138"/>
      <c r="R130" s="138"/>
      <c r="U130" s="138"/>
      <c r="X130" s="138"/>
    </row>
    <row r="131" spans="4:24" ht="12.75" customHeight="1" x14ac:dyDescent="0.25">
      <c r="D131" s="138"/>
      <c r="E131" s="138"/>
      <c r="L131" s="138"/>
      <c r="O131" s="138"/>
      <c r="R131" s="138"/>
      <c r="U131" s="138"/>
      <c r="X131" s="138"/>
    </row>
    <row r="132" spans="4:24" ht="12.75" customHeight="1" x14ac:dyDescent="0.25">
      <c r="D132" s="138"/>
      <c r="E132" s="138"/>
      <c r="L132" s="138"/>
      <c r="O132" s="138"/>
      <c r="R132" s="138"/>
      <c r="U132" s="138"/>
      <c r="X132" s="138"/>
    </row>
    <row r="133" spans="4:24" ht="12.75" customHeight="1" x14ac:dyDescent="0.25">
      <c r="D133" s="138"/>
      <c r="E133" s="138"/>
      <c r="L133" s="138"/>
      <c r="O133" s="138"/>
      <c r="R133" s="138"/>
      <c r="U133" s="138"/>
      <c r="X133" s="138"/>
    </row>
    <row r="134" spans="4:24" ht="12.75" customHeight="1" x14ac:dyDescent="0.25">
      <c r="D134" s="138"/>
      <c r="E134" s="138"/>
      <c r="L134" s="138"/>
      <c r="O134" s="138"/>
      <c r="R134" s="138"/>
      <c r="U134" s="138"/>
      <c r="X134" s="138"/>
    </row>
    <row r="135" spans="4:24" ht="12.75" customHeight="1" x14ac:dyDescent="0.25">
      <c r="D135" s="138"/>
      <c r="E135" s="138"/>
      <c r="L135" s="138"/>
      <c r="O135" s="138"/>
      <c r="R135" s="138"/>
      <c r="U135" s="138"/>
      <c r="X135" s="138"/>
    </row>
    <row r="136" spans="4:24" ht="12.75" customHeight="1" x14ac:dyDescent="0.25">
      <c r="D136" s="138"/>
      <c r="E136" s="138"/>
      <c r="L136" s="138"/>
      <c r="O136" s="138"/>
      <c r="R136" s="138"/>
      <c r="U136" s="138"/>
      <c r="X136" s="138"/>
    </row>
    <row r="137" spans="4:24" ht="12.75" customHeight="1" x14ac:dyDescent="0.25">
      <c r="D137" s="138"/>
      <c r="E137" s="138"/>
      <c r="L137" s="138"/>
      <c r="O137" s="138"/>
      <c r="R137" s="138"/>
      <c r="U137" s="138"/>
      <c r="X137" s="138"/>
    </row>
    <row r="138" spans="4:24" ht="12.75" customHeight="1" x14ac:dyDescent="0.25">
      <c r="D138" s="138"/>
      <c r="E138" s="138"/>
      <c r="L138" s="138"/>
      <c r="O138" s="138"/>
      <c r="R138" s="138"/>
      <c r="U138" s="138"/>
      <c r="X138" s="138"/>
    </row>
    <row r="139" spans="4:24" ht="12.75" customHeight="1" x14ac:dyDescent="0.25">
      <c r="D139" s="138"/>
      <c r="E139" s="138"/>
      <c r="L139" s="138"/>
      <c r="O139" s="138"/>
      <c r="R139" s="138"/>
      <c r="U139" s="138"/>
      <c r="X139" s="138"/>
    </row>
    <row r="140" spans="4:24" ht="12.75" customHeight="1" x14ac:dyDescent="0.25">
      <c r="D140" s="138"/>
      <c r="E140" s="138"/>
      <c r="L140" s="138"/>
      <c r="O140" s="138"/>
      <c r="R140" s="138"/>
      <c r="U140" s="138"/>
      <c r="X140" s="138"/>
    </row>
    <row r="141" spans="4:24" ht="12.75" customHeight="1" x14ac:dyDescent="0.25">
      <c r="D141" s="138"/>
      <c r="E141" s="138"/>
      <c r="L141" s="138"/>
      <c r="O141" s="138"/>
      <c r="R141" s="138"/>
      <c r="U141" s="138"/>
      <c r="X141" s="138"/>
    </row>
    <row r="142" spans="4:24" ht="12.75" customHeight="1" x14ac:dyDescent="0.25">
      <c r="D142" s="138"/>
      <c r="E142" s="138"/>
      <c r="L142" s="138"/>
      <c r="O142" s="138"/>
      <c r="R142" s="138"/>
      <c r="U142" s="138"/>
      <c r="X142" s="138"/>
    </row>
    <row r="143" spans="4:24" ht="12.75" customHeight="1" x14ac:dyDescent="0.25">
      <c r="D143" s="138"/>
      <c r="E143" s="138"/>
      <c r="L143" s="138"/>
      <c r="O143" s="138"/>
      <c r="R143" s="138"/>
      <c r="U143" s="138"/>
      <c r="X143" s="138"/>
    </row>
    <row r="144" spans="4:24" ht="12.75" customHeight="1" x14ac:dyDescent="0.25">
      <c r="D144" s="138"/>
      <c r="E144" s="138"/>
      <c r="L144" s="138"/>
      <c r="O144" s="138"/>
      <c r="R144" s="138"/>
      <c r="U144" s="138"/>
      <c r="X144" s="138"/>
    </row>
    <row r="145" spans="4:24" ht="12.75" customHeight="1" x14ac:dyDescent="0.25">
      <c r="D145" s="138"/>
      <c r="E145" s="138"/>
      <c r="L145" s="138"/>
      <c r="O145" s="138"/>
      <c r="R145" s="138"/>
      <c r="U145" s="138"/>
      <c r="X145" s="138"/>
    </row>
    <row r="146" spans="4:24" ht="12.75" customHeight="1" x14ac:dyDescent="0.25">
      <c r="D146" s="138"/>
      <c r="E146" s="138"/>
      <c r="L146" s="138"/>
      <c r="O146" s="138"/>
      <c r="R146" s="138"/>
      <c r="U146" s="138"/>
      <c r="X146" s="138"/>
    </row>
    <row r="147" spans="4:24" ht="12.75" customHeight="1" x14ac:dyDescent="0.25">
      <c r="D147" s="138"/>
      <c r="E147" s="138"/>
      <c r="L147" s="138"/>
      <c r="O147" s="138"/>
      <c r="R147" s="138"/>
      <c r="U147" s="138"/>
      <c r="X147" s="138"/>
    </row>
    <row r="148" spans="4:24" ht="12.75" customHeight="1" x14ac:dyDescent="0.25">
      <c r="D148" s="138"/>
      <c r="E148" s="138"/>
      <c r="L148" s="138"/>
      <c r="O148" s="138"/>
      <c r="R148" s="138"/>
      <c r="U148" s="138"/>
      <c r="X148" s="138"/>
    </row>
    <row r="149" spans="4:24" ht="12.75" customHeight="1" x14ac:dyDescent="0.25">
      <c r="D149" s="138"/>
      <c r="E149" s="138"/>
      <c r="L149" s="138"/>
      <c r="O149" s="138"/>
      <c r="R149" s="138"/>
      <c r="U149" s="138"/>
      <c r="X149" s="138"/>
    </row>
    <row r="150" spans="4:24" ht="12.75" customHeight="1" x14ac:dyDescent="0.25">
      <c r="D150" s="138"/>
      <c r="E150" s="138"/>
      <c r="L150" s="138"/>
      <c r="O150" s="138"/>
      <c r="R150" s="138"/>
      <c r="U150" s="138"/>
      <c r="X150" s="138"/>
    </row>
    <row r="151" spans="4:24" ht="12.75" customHeight="1" x14ac:dyDescent="0.25">
      <c r="D151" s="138"/>
      <c r="E151" s="138"/>
      <c r="L151" s="138"/>
      <c r="O151" s="138"/>
      <c r="R151" s="138"/>
      <c r="U151" s="138"/>
      <c r="X151" s="138"/>
    </row>
    <row r="152" spans="4:24" ht="12.75" customHeight="1" x14ac:dyDescent="0.25">
      <c r="D152" s="138"/>
      <c r="E152" s="138"/>
      <c r="L152" s="138"/>
      <c r="O152" s="138"/>
      <c r="R152" s="138"/>
      <c r="U152" s="138"/>
      <c r="X152" s="138"/>
    </row>
    <row r="153" spans="4:24" ht="12.75" customHeight="1" x14ac:dyDescent="0.25">
      <c r="D153" s="138"/>
      <c r="E153" s="138"/>
      <c r="L153" s="138"/>
      <c r="O153" s="138"/>
      <c r="R153" s="138"/>
      <c r="U153" s="138"/>
      <c r="X153" s="138"/>
    </row>
    <row r="154" spans="4:24" ht="12.75" customHeight="1" x14ac:dyDescent="0.25">
      <c r="D154" s="138"/>
      <c r="E154" s="138"/>
      <c r="L154" s="138"/>
      <c r="O154" s="138"/>
      <c r="R154" s="138"/>
      <c r="U154" s="138"/>
      <c r="X154" s="138"/>
    </row>
    <row r="155" spans="4:24" ht="12.75" customHeight="1" x14ac:dyDescent="0.25">
      <c r="D155" s="138"/>
      <c r="E155" s="138"/>
      <c r="L155" s="138"/>
      <c r="O155" s="138"/>
      <c r="R155" s="138"/>
      <c r="U155" s="138"/>
      <c r="X155" s="138"/>
    </row>
    <row r="156" spans="4:24" ht="12.75" customHeight="1" x14ac:dyDescent="0.25">
      <c r="D156" s="138"/>
      <c r="E156" s="138"/>
      <c r="L156" s="138"/>
      <c r="O156" s="138"/>
      <c r="R156" s="138"/>
      <c r="U156" s="138"/>
      <c r="X156" s="138"/>
    </row>
    <row r="157" spans="4:24" ht="12.75" customHeight="1" x14ac:dyDescent="0.25">
      <c r="D157" s="138"/>
      <c r="E157" s="138"/>
      <c r="L157" s="138"/>
      <c r="O157" s="138"/>
      <c r="R157" s="138"/>
      <c r="U157" s="138"/>
      <c r="X157" s="138"/>
    </row>
    <row r="158" spans="4:24" ht="12.75" customHeight="1" x14ac:dyDescent="0.25">
      <c r="D158" s="138"/>
      <c r="E158" s="138"/>
      <c r="L158" s="138"/>
      <c r="O158" s="138"/>
      <c r="R158" s="138"/>
      <c r="U158" s="138"/>
      <c r="X158" s="138"/>
    </row>
    <row r="159" spans="4:24" ht="12.75" customHeight="1" x14ac:dyDescent="0.25">
      <c r="D159" s="138"/>
      <c r="E159" s="138"/>
      <c r="L159" s="138"/>
      <c r="O159" s="138"/>
      <c r="R159" s="138"/>
      <c r="U159" s="138"/>
      <c r="X159" s="138"/>
    </row>
    <row r="160" spans="4:24" ht="12.75" customHeight="1" x14ac:dyDescent="0.25">
      <c r="D160" s="138"/>
      <c r="E160" s="138"/>
      <c r="L160" s="138"/>
      <c r="O160" s="138"/>
      <c r="R160" s="138"/>
      <c r="U160" s="138"/>
      <c r="X160" s="138"/>
    </row>
    <row r="161" spans="4:24" ht="12.75" customHeight="1" x14ac:dyDescent="0.25">
      <c r="D161" s="138"/>
      <c r="E161" s="138"/>
      <c r="L161" s="138"/>
      <c r="O161" s="138"/>
      <c r="R161" s="138"/>
      <c r="U161" s="138"/>
      <c r="X161" s="138"/>
    </row>
    <row r="162" spans="4:24" ht="12.75" customHeight="1" x14ac:dyDescent="0.25">
      <c r="D162" s="138"/>
      <c r="E162" s="138"/>
      <c r="L162" s="138"/>
      <c r="O162" s="138"/>
      <c r="R162" s="138"/>
      <c r="U162" s="138"/>
      <c r="X162" s="138"/>
    </row>
    <row r="163" spans="4:24" ht="12.75" customHeight="1" x14ac:dyDescent="0.25">
      <c r="D163" s="138"/>
      <c r="E163" s="138"/>
      <c r="L163" s="138"/>
      <c r="O163" s="138"/>
      <c r="R163" s="138"/>
      <c r="U163" s="138"/>
      <c r="X163" s="138"/>
    </row>
    <row r="164" spans="4:24" ht="12.75" customHeight="1" x14ac:dyDescent="0.25">
      <c r="D164" s="138"/>
      <c r="E164" s="138"/>
      <c r="L164" s="138"/>
      <c r="O164" s="138"/>
      <c r="R164" s="138"/>
      <c r="U164" s="138"/>
      <c r="X164" s="138"/>
    </row>
    <row r="165" spans="4:24" ht="12.75" customHeight="1" x14ac:dyDescent="0.25">
      <c r="D165" s="138"/>
      <c r="E165" s="138"/>
      <c r="L165" s="138"/>
      <c r="O165" s="138"/>
      <c r="R165" s="138"/>
      <c r="U165" s="138"/>
      <c r="X165" s="138"/>
    </row>
    <row r="166" spans="4:24" ht="12.75" customHeight="1" x14ac:dyDescent="0.25">
      <c r="D166" s="138"/>
      <c r="E166" s="138"/>
      <c r="L166" s="138"/>
      <c r="O166" s="138"/>
      <c r="R166" s="138"/>
      <c r="U166" s="138"/>
      <c r="X166" s="138"/>
    </row>
    <row r="167" spans="4:24" ht="12.75" customHeight="1" x14ac:dyDescent="0.25">
      <c r="D167" s="138"/>
      <c r="E167" s="138"/>
      <c r="L167" s="138"/>
      <c r="O167" s="138"/>
      <c r="R167" s="138"/>
      <c r="U167" s="138"/>
      <c r="X167" s="138"/>
    </row>
    <row r="168" spans="4:24" ht="12.75" customHeight="1" x14ac:dyDescent="0.25">
      <c r="D168" s="138"/>
      <c r="E168" s="138"/>
      <c r="L168" s="138"/>
      <c r="O168" s="138"/>
      <c r="R168" s="138"/>
      <c r="U168" s="138"/>
      <c r="X168" s="138"/>
    </row>
    <row r="169" spans="4:24" ht="12.75" customHeight="1" x14ac:dyDescent="0.25">
      <c r="D169" s="138"/>
      <c r="E169" s="138"/>
      <c r="L169" s="138"/>
      <c r="O169" s="138"/>
      <c r="R169" s="138"/>
      <c r="U169" s="138"/>
      <c r="X169" s="138"/>
    </row>
    <row r="170" spans="4:24" ht="12.75" customHeight="1" x14ac:dyDescent="0.25">
      <c r="D170" s="138"/>
      <c r="E170" s="138"/>
      <c r="L170" s="138"/>
      <c r="O170" s="138"/>
      <c r="R170" s="138"/>
      <c r="U170" s="138"/>
      <c r="X170" s="138"/>
    </row>
    <row r="171" spans="4:24" ht="12.75" customHeight="1" x14ac:dyDescent="0.25">
      <c r="D171" s="138"/>
      <c r="E171" s="138"/>
      <c r="L171" s="138"/>
      <c r="O171" s="138"/>
      <c r="R171" s="138"/>
      <c r="U171" s="138"/>
      <c r="X171" s="138"/>
    </row>
    <row r="172" spans="4:24" ht="12.75" customHeight="1" x14ac:dyDescent="0.25">
      <c r="D172" s="138"/>
      <c r="E172" s="138"/>
      <c r="L172" s="138"/>
      <c r="O172" s="138"/>
      <c r="R172" s="138"/>
      <c r="U172" s="138"/>
      <c r="X172" s="138"/>
    </row>
    <row r="173" spans="4:24" ht="12.75" customHeight="1" x14ac:dyDescent="0.25">
      <c r="D173" s="138"/>
      <c r="E173" s="138"/>
      <c r="L173" s="138"/>
      <c r="O173" s="138"/>
      <c r="R173" s="138"/>
      <c r="U173" s="138"/>
      <c r="X173" s="138"/>
    </row>
    <row r="174" spans="4:24" ht="12.75" customHeight="1" x14ac:dyDescent="0.25">
      <c r="D174" s="138"/>
      <c r="E174" s="138"/>
      <c r="L174" s="138"/>
      <c r="O174" s="138"/>
      <c r="R174" s="138"/>
      <c r="U174" s="138"/>
      <c r="X174" s="138"/>
    </row>
    <row r="175" spans="4:24" ht="12.75" customHeight="1" x14ac:dyDescent="0.25">
      <c r="D175" s="138"/>
      <c r="E175" s="138"/>
      <c r="L175" s="138"/>
      <c r="O175" s="138"/>
      <c r="R175" s="138"/>
      <c r="U175" s="138"/>
      <c r="X175" s="138"/>
    </row>
    <row r="176" spans="4:24" ht="12.75" customHeight="1" x14ac:dyDescent="0.25">
      <c r="D176" s="138"/>
      <c r="E176" s="138"/>
      <c r="L176" s="138"/>
      <c r="O176" s="138"/>
      <c r="R176" s="138"/>
      <c r="U176" s="138"/>
      <c r="X176" s="138"/>
    </row>
    <row r="177" spans="4:24" ht="12.75" customHeight="1" x14ac:dyDescent="0.25">
      <c r="D177" s="138"/>
      <c r="E177" s="138"/>
      <c r="L177" s="138"/>
      <c r="O177" s="138"/>
      <c r="R177" s="138"/>
      <c r="U177" s="138"/>
      <c r="X177" s="138"/>
    </row>
    <row r="178" spans="4:24" ht="12.75" customHeight="1" x14ac:dyDescent="0.25">
      <c r="D178" s="138"/>
      <c r="E178" s="138"/>
      <c r="L178" s="138"/>
      <c r="O178" s="138"/>
      <c r="R178" s="138"/>
      <c r="U178" s="138"/>
      <c r="X178" s="138"/>
    </row>
    <row r="179" spans="4:24" ht="12.75" customHeight="1" x14ac:dyDescent="0.25">
      <c r="D179" s="138"/>
      <c r="E179" s="138"/>
      <c r="L179" s="138"/>
      <c r="O179" s="138"/>
      <c r="R179" s="138"/>
      <c r="U179" s="138"/>
      <c r="X179" s="138"/>
    </row>
    <row r="180" spans="4:24" ht="12.75" customHeight="1" x14ac:dyDescent="0.25">
      <c r="D180" s="138"/>
      <c r="E180" s="138"/>
      <c r="L180" s="138"/>
      <c r="O180" s="138"/>
      <c r="R180" s="138"/>
      <c r="U180" s="138"/>
      <c r="X180" s="138"/>
    </row>
    <row r="181" spans="4:24" ht="12.75" customHeight="1" x14ac:dyDescent="0.25">
      <c r="D181" s="138"/>
      <c r="E181" s="138"/>
      <c r="L181" s="138"/>
      <c r="O181" s="138"/>
      <c r="R181" s="138"/>
      <c r="U181" s="138"/>
      <c r="X181" s="138"/>
    </row>
    <row r="182" spans="4:24" ht="12.75" customHeight="1" x14ac:dyDescent="0.25">
      <c r="D182" s="138"/>
      <c r="E182" s="138"/>
      <c r="L182" s="138"/>
      <c r="O182" s="138"/>
      <c r="R182" s="138"/>
      <c r="U182" s="138"/>
      <c r="X182" s="138"/>
    </row>
    <row r="183" spans="4:24" ht="12.75" customHeight="1" x14ac:dyDescent="0.25">
      <c r="D183" s="138"/>
      <c r="E183" s="138"/>
      <c r="L183" s="138"/>
      <c r="O183" s="138"/>
      <c r="R183" s="138"/>
      <c r="U183" s="138"/>
      <c r="X183" s="138"/>
    </row>
    <row r="184" spans="4:24" ht="12.75" customHeight="1" x14ac:dyDescent="0.25">
      <c r="D184" s="138"/>
      <c r="E184" s="138"/>
      <c r="L184" s="138"/>
      <c r="O184" s="138"/>
      <c r="R184" s="138"/>
      <c r="U184" s="138"/>
      <c r="X184" s="138"/>
    </row>
    <row r="185" spans="4:24" ht="12.75" customHeight="1" x14ac:dyDescent="0.25">
      <c r="D185" s="138"/>
      <c r="E185" s="138"/>
      <c r="L185" s="138"/>
      <c r="O185" s="138"/>
      <c r="R185" s="138"/>
      <c r="U185" s="138"/>
      <c r="X185" s="138"/>
    </row>
    <row r="186" spans="4:24" ht="12.75" customHeight="1" x14ac:dyDescent="0.25">
      <c r="D186" s="138"/>
      <c r="E186" s="138"/>
      <c r="L186" s="138"/>
      <c r="O186" s="138"/>
      <c r="R186" s="138"/>
      <c r="U186" s="138"/>
      <c r="X186" s="138"/>
    </row>
    <row r="187" spans="4:24" ht="12.75" customHeight="1" x14ac:dyDescent="0.25">
      <c r="D187" s="138"/>
      <c r="E187" s="138"/>
      <c r="L187" s="138"/>
      <c r="O187" s="138"/>
      <c r="R187" s="138"/>
      <c r="U187" s="138"/>
      <c r="X187" s="138"/>
    </row>
    <row r="188" spans="4:24" ht="12.75" customHeight="1" x14ac:dyDescent="0.25">
      <c r="D188" s="138"/>
      <c r="E188" s="138"/>
      <c r="L188" s="138"/>
      <c r="O188" s="138"/>
      <c r="R188" s="138"/>
      <c r="U188" s="138"/>
      <c r="X188" s="138"/>
    </row>
    <row r="189" spans="4:24" ht="12.75" customHeight="1" x14ac:dyDescent="0.25">
      <c r="D189" s="138"/>
      <c r="E189" s="138"/>
      <c r="L189" s="138"/>
      <c r="O189" s="138"/>
      <c r="R189" s="138"/>
      <c r="U189" s="138"/>
      <c r="X189" s="138"/>
    </row>
    <row r="190" spans="4:24" ht="12.75" customHeight="1" x14ac:dyDescent="0.25">
      <c r="D190" s="138"/>
      <c r="E190" s="138"/>
      <c r="L190" s="138"/>
      <c r="O190" s="138"/>
      <c r="R190" s="138"/>
      <c r="U190" s="138"/>
      <c r="X190" s="138"/>
    </row>
    <row r="191" spans="4:24" ht="12.75" customHeight="1" x14ac:dyDescent="0.25">
      <c r="D191" s="138"/>
      <c r="E191" s="138"/>
      <c r="L191" s="138"/>
      <c r="O191" s="138"/>
      <c r="R191" s="138"/>
      <c r="U191" s="138"/>
      <c r="X191" s="138"/>
    </row>
    <row r="192" spans="4:24" ht="12.75" customHeight="1" x14ac:dyDescent="0.25">
      <c r="D192" s="138"/>
      <c r="E192" s="138"/>
      <c r="L192" s="138"/>
      <c r="O192" s="138"/>
      <c r="R192" s="138"/>
      <c r="U192" s="138"/>
      <c r="X192" s="138"/>
    </row>
    <row r="193" spans="4:24" ht="12.75" customHeight="1" x14ac:dyDescent="0.25">
      <c r="D193" s="138"/>
      <c r="E193" s="138"/>
      <c r="L193" s="138"/>
      <c r="O193" s="138"/>
      <c r="R193" s="138"/>
      <c r="U193" s="138"/>
      <c r="X193" s="138"/>
    </row>
    <row r="194" spans="4:24" ht="12.75" customHeight="1" x14ac:dyDescent="0.25">
      <c r="D194" s="138"/>
      <c r="E194" s="138"/>
      <c r="L194" s="138"/>
      <c r="O194" s="138"/>
      <c r="R194" s="138"/>
      <c r="U194" s="138"/>
      <c r="X194" s="138"/>
    </row>
    <row r="195" spans="4:24" ht="12.75" customHeight="1" x14ac:dyDescent="0.25">
      <c r="D195" s="138"/>
      <c r="E195" s="138"/>
      <c r="L195" s="138"/>
      <c r="O195" s="138"/>
      <c r="R195" s="138"/>
      <c r="U195" s="138"/>
      <c r="X195" s="138"/>
    </row>
    <row r="196" spans="4:24" ht="12.75" customHeight="1" x14ac:dyDescent="0.25">
      <c r="D196" s="138"/>
      <c r="E196" s="138"/>
      <c r="L196" s="138"/>
      <c r="O196" s="138"/>
      <c r="R196" s="138"/>
      <c r="U196" s="138"/>
      <c r="X196" s="138"/>
    </row>
    <row r="197" spans="4:24" ht="12.75" customHeight="1" x14ac:dyDescent="0.25">
      <c r="D197" s="138"/>
      <c r="E197" s="138"/>
      <c r="L197" s="138"/>
      <c r="O197" s="138"/>
      <c r="R197" s="138"/>
      <c r="U197" s="138"/>
      <c r="X197" s="138"/>
    </row>
    <row r="198" spans="4:24" ht="12.75" customHeight="1" x14ac:dyDescent="0.25">
      <c r="D198" s="138"/>
      <c r="E198" s="138"/>
      <c r="L198" s="138"/>
      <c r="O198" s="138"/>
      <c r="R198" s="138"/>
      <c r="U198" s="138"/>
      <c r="X198" s="138"/>
    </row>
    <row r="199" spans="4:24" ht="12.75" customHeight="1" x14ac:dyDescent="0.25">
      <c r="D199" s="138"/>
      <c r="E199" s="138"/>
      <c r="L199" s="138"/>
      <c r="O199" s="138"/>
      <c r="R199" s="138"/>
      <c r="U199" s="138"/>
      <c r="X199" s="138"/>
    </row>
    <row r="200" spans="4:24" ht="12.75" customHeight="1" x14ac:dyDescent="0.25">
      <c r="D200" s="138"/>
      <c r="E200" s="138"/>
      <c r="L200" s="138"/>
      <c r="O200" s="138"/>
      <c r="R200" s="138"/>
      <c r="U200" s="138"/>
      <c r="X200" s="138"/>
    </row>
    <row r="201" spans="4:24" ht="12.75" customHeight="1" x14ac:dyDescent="0.25">
      <c r="D201" s="138"/>
      <c r="E201" s="138"/>
      <c r="L201" s="138"/>
      <c r="O201" s="138"/>
      <c r="R201" s="138"/>
      <c r="U201" s="138"/>
      <c r="X201" s="138"/>
    </row>
    <row r="202" spans="4:24" ht="12.75" customHeight="1" x14ac:dyDescent="0.25">
      <c r="D202" s="138"/>
      <c r="E202" s="138"/>
      <c r="L202" s="138"/>
      <c r="O202" s="138"/>
      <c r="R202" s="138"/>
      <c r="U202" s="138"/>
      <c r="X202" s="138"/>
    </row>
    <row r="203" spans="4:24" ht="12.75" customHeight="1" x14ac:dyDescent="0.25">
      <c r="D203" s="138"/>
      <c r="E203" s="138"/>
      <c r="L203" s="138"/>
      <c r="O203" s="138"/>
      <c r="R203" s="138"/>
      <c r="U203" s="138"/>
      <c r="X203" s="138"/>
    </row>
    <row r="204" spans="4:24" ht="12.75" customHeight="1" x14ac:dyDescent="0.25">
      <c r="D204" s="138"/>
      <c r="E204" s="138"/>
      <c r="L204" s="138"/>
      <c r="O204" s="138"/>
      <c r="R204" s="138"/>
      <c r="U204" s="138"/>
      <c r="X204" s="138"/>
    </row>
    <row r="205" spans="4:24" ht="12.75" customHeight="1" x14ac:dyDescent="0.25">
      <c r="D205" s="138"/>
      <c r="E205" s="138"/>
      <c r="L205" s="138"/>
      <c r="O205" s="138"/>
      <c r="R205" s="138"/>
      <c r="U205" s="138"/>
      <c r="X205" s="138"/>
    </row>
    <row r="206" spans="4:24" ht="12.75" customHeight="1" x14ac:dyDescent="0.25">
      <c r="D206" s="138"/>
      <c r="E206" s="138"/>
      <c r="L206" s="138"/>
      <c r="O206" s="138"/>
      <c r="R206" s="138"/>
      <c r="U206" s="138"/>
      <c r="X206" s="138"/>
    </row>
    <row r="207" spans="4:24" ht="12.75" customHeight="1" x14ac:dyDescent="0.25">
      <c r="D207" s="138"/>
      <c r="E207" s="138"/>
      <c r="L207" s="138"/>
      <c r="O207" s="138"/>
      <c r="R207" s="138"/>
      <c r="U207" s="138"/>
      <c r="X207" s="138"/>
    </row>
    <row r="208" spans="4:24" ht="12.75" customHeight="1" x14ac:dyDescent="0.25">
      <c r="D208" s="138"/>
      <c r="E208" s="138"/>
      <c r="L208" s="138"/>
      <c r="O208" s="138"/>
      <c r="R208" s="138"/>
      <c r="U208" s="138"/>
      <c r="X208" s="138"/>
    </row>
    <row r="209" spans="4:24" ht="12.75" customHeight="1" x14ac:dyDescent="0.25">
      <c r="D209" s="138"/>
      <c r="E209" s="138"/>
      <c r="L209" s="138"/>
      <c r="O209" s="138"/>
      <c r="R209" s="138"/>
      <c r="U209" s="138"/>
      <c r="X209" s="138"/>
    </row>
    <row r="210" spans="4:24" ht="12.75" customHeight="1" x14ac:dyDescent="0.25">
      <c r="D210" s="138"/>
      <c r="E210" s="138"/>
      <c r="L210" s="138"/>
      <c r="O210" s="138"/>
      <c r="R210" s="138"/>
      <c r="U210" s="138"/>
      <c r="X210" s="138"/>
    </row>
    <row r="211" spans="4:24" ht="12.75" customHeight="1" x14ac:dyDescent="0.25">
      <c r="D211" s="138"/>
      <c r="E211" s="138"/>
      <c r="L211" s="138"/>
      <c r="O211" s="138"/>
      <c r="R211" s="138"/>
      <c r="U211" s="138"/>
      <c r="X211" s="138"/>
    </row>
    <row r="212" spans="4:24" ht="12.75" customHeight="1" x14ac:dyDescent="0.25">
      <c r="D212" s="138"/>
      <c r="E212" s="138"/>
      <c r="L212" s="138"/>
      <c r="O212" s="138"/>
      <c r="R212" s="138"/>
      <c r="U212" s="138"/>
      <c r="X212" s="138"/>
    </row>
    <row r="213" spans="4:24" ht="12.75" customHeight="1" x14ac:dyDescent="0.25">
      <c r="D213" s="138"/>
      <c r="E213" s="138"/>
      <c r="L213" s="138"/>
      <c r="O213" s="138"/>
      <c r="R213" s="138"/>
      <c r="U213" s="138"/>
      <c r="X213" s="138"/>
    </row>
    <row r="214" spans="4:24" ht="12.75" customHeight="1" x14ac:dyDescent="0.25">
      <c r="D214" s="138"/>
      <c r="E214" s="138"/>
      <c r="L214" s="138"/>
      <c r="O214" s="138"/>
      <c r="R214" s="138"/>
      <c r="U214" s="138"/>
      <c r="X214" s="138"/>
    </row>
    <row r="215" spans="4:24" ht="12.75" customHeight="1" x14ac:dyDescent="0.25">
      <c r="D215" s="138"/>
      <c r="E215" s="138"/>
      <c r="L215" s="138"/>
      <c r="O215" s="138"/>
      <c r="R215" s="138"/>
      <c r="U215" s="138"/>
      <c r="X215" s="138"/>
    </row>
    <row r="216" spans="4:24" ht="12.75" customHeight="1" x14ac:dyDescent="0.25">
      <c r="D216" s="138"/>
      <c r="E216" s="138"/>
      <c r="L216" s="138"/>
      <c r="O216" s="138"/>
      <c r="R216" s="138"/>
      <c r="U216" s="138"/>
      <c r="X216" s="138"/>
    </row>
    <row r="217" spans="4:24" ht="12.75" customHeight="1" x14ac:dyDescent="0.25">
      <c r="D217" s="138"/>
      <c r="E217" s="138"/>
      <c r="L217" s="138"/>
      <c r="O217" s="138"/>
      <c r="R217" s="138"/>
      <c r="U217" s="138"/>
      <c r="X217" s="138"/>
    </row>
    <row r="218" spans="4:24" ht="12.75" customHeight="1" x14ac:dyDescent="0.25">
      <c r="D218" s="138"/>
      <c r="E218" s="138"/>
      <c r="L218" s="138"/>
      <c r="O218" s="138"/>
      <c r="R218" s="138"/>
      <c r="U218" s="138"/>
      <c r="X218" s="138"/>
    </row>
    <row r="219" spans="4:24" ht="12.75" customHeight="1" x14ac:dyDescent="0.25">
      <c r="D219" s="138"/>
      <c r="E219" s="138"/>
      <c r="L219" s="138"/>
      <c r="O219" s="138"/>
      <c r="R219" s="138"/>
      <c r="U219" s="138"/>
      <c r="X219" s="138"/>
    </row>
    <row r="220" spans="4:24" ht="12.75" customHeight="1" x14ac:dyDescent="0.25">
      <c r="D220" s="138"/>
      <c r="E220" s="138"/>
      <c r="L220" s="138"/>
      <c r="O220" s="138"/>
      <c r="R220" s="138"/>
      <c r="U220" s="138"/>
      <c r="X220" s="138"/>
    </row>
    <row r="221" spans="4:24" ht="12.75" customHeight="1" x14ac:dyDescent="0.25">
      <c r="D221" s="138"/>
      <c r="E221" s="138"/>
      <c r="L221" s="138"/>
      <c r="O221" s="138"/>
      <c r="R221" s="138"/>
      <c r="U221" s="138"/>
      <c r="X221" s="138"/>
    </row>
    <row r="222" spans="4:24" ht="12.75" customHeight="1" x14ac:dyDescent="0.25">
      <c r="D222" s="138"/>
      <c r="E222" s="138"/>
      <c r="L222" s="138"/>
      <c r="O222" s="138"/>
      <c r="R222" s="138"/>
      <c r="U222" s="138"/>
      <c r="X222" s="138"/>
    </row>
    <row r="223" spans="4:24" ht="12.75" customHeight="1" x14ac:dyDescent="0.25">
      <c r="D223" s="138"/>
      <c r="E223" s="138"/>
      <c r="L223" s="138"/>
      <c r="O223" s="138"/>
      <c r="R223" s="138"/>
      <c r="U223" s="138"/>
      <c r="X223" s="138"/>
    </row>
    <row r="224" spans="4:24" ht="12.75" customHeight="1" x14ac:dyDescent="0.25">
      <c r="D224" s="138"/>
      <c r="E224" s="138"/>
      <c r="L224" s="138"/>
      <c r="O224" s="138"/>
      <c r="R224" s="138"/>
      <c r="U224" s="138"/>
      <c r="X224" s="138"/>
    </row>
    <row r="225" spans="4:24" ht="12.75" customHeight="1" x14ac:dyDescent="0.25">
      <c r="D225" s="138"/>
      <c r="E225" s="138"/>
      <c r="L225" s="138"/>
      <c r="O225" s="138"/>
      <c r="R225" s="138"/>
      <c r="U225" s="138"/>
      <c r="X225" s="138"/>
    </row>
    <row r="226" spans="4:24" ht="12.75" customHeight="1" x14ac:dyDescent="0.25">
      <c r="D226" s="138"/>
      <c r="E226" s="138"/>
      <c r="L226" s="138"/>
      <c r="O226" s="138"/>
      <c r="R226" s="138"/>
      <c r="U226" s="138"/>
      <c r="X226" s="138"/>
    </row>
    <row r="227" spans="4:24" ht="12.75" customHeight="1" x14ac:dyDescent="0.25">
      <c r="D227" s="138"/>
      <c r="E227" s="138"/>
      <c r="L227" s="138"/>
      <c r="O227" s="138"/>
      <c r="R227" s="138"/>
      <c r="U227" s="138"/>
      <c r="X227" s="138"/>
    </row>
    <row r="228" spans="4:24" ht="12.75" customHeight="1" x14ac:dyDescent="0.25">
      <c r="D228" s="138"/>
      <c r="E228" s="138"/>
      <c r="L228" s="138"/>
      <c r="O228" s="138"/>
      <c r="R228" s="138"/>
      <c r="U228" s="138"/>
      <c r="X228" s="138"/>
    </row>
    <row r="229" spans="4:24" ht="12.75" customHeight="1" x14ac:dyDescent="0.25">
      <c r="D229" s="138"/>
      <c r="E229" s="138"/>
      <c r="L229" s="138"/>
      <c r="O229" s="138"/>
      <c r="R229" s="138"/>
      <c r="U229" s="138"/>
      <c r="X229" s="138"/>
    </row>
    <row r="230" spans="4:24" ht="12.75" customHeight="1" x14ac:dyDescent="0.25">
      <c r="D230" s="138"/>
      <c r="E230" s="138"/>
      <c r="L230" s="138"/>
      <c r="O230" s="138"/>
      <c r="R230" s="138"/>
      <c r="U230" s="138"/>
      <c r="X230" s="138"/>
    </row>
    <row r="231" spans="4:24" ht="12.75" customHeight="1" x14ac:dyDescent="0.25">
      <c r="D231" s="138"/>
      <c r="E231" s="138"/>
      <c r="L231" s="138"/>
      <c r="O231" s="138"/>
      <c r="R231" s="138"/>
      <c r="U231" s="138"/>
      <c r="X231" s="138"/>
    </row>
    <row r="232" spans="4:24" ht="12.75" customHeight="1" x14ac:dyDescent="0.25">
      <c r="D232" s="138"/>
      <c r="E232" s="138"/>
      <c r="L232" s="138"/>
      <c r="O232" s="138"/>
      <c r="R232" s="138"/>
      <c r="U232" s="138"/>
      <c r="X232" s="138"/>
    </row>
    <row r="233" spans="4:24" ht="12.75" customHeight="1" x14ac:dyDescent="0.25">
      <c r="D233" s="138"/>
      <c r="E233" s="138"/>
      <c r="L233" s="138"/>
      <c r="O233" s="138"/>
      <c r="R233" s="138"/>
      <c r="U233" s="138"/>
      <c r="X233" s="138"/>
    </row>
    <row r="234" spans="4:24" ht="12.75" customHeight="1" x14ac:dyDescent="0.25">
      <c r="D234" s="138"/>
      <c r="E234" s="138"/>
      <c r="L234" s="138"/>
      <c r="O234" s="138"/>
      <c r="R234" s="138"/>
      <c r="U234" s="138"/>
      <c r="X234" s="138"/>
    </row>
    <row r="235" spans="4:24" ht="12.75" customHeight="1" x14ac:dyDescent="0.25">
      <c r="D235" s="138"/>
      <c r="E235" s="138"/>
      <c r="L235" s="138"/>
      <c r="O235" s="138"/>
      <c r="R235" s="138"/>
      <c r="U235" s="138"/>
      <c r="X235" s="138"/>
    </row>
    <row r="236" spans="4:24" ht="12.75" customHeight="1" x14ac:dyDescent="0.25">
      <c r="D236" s="138"/>
      <c r="E236" s="138"/>
      <c r="L236" s="138"/>
      <c r="O236" s="138"/>
      <c r="R236" s="138"/>
      <c r="U236" s="138"/>
      <c r="X236" s="138"/>
    </row>
    <row r="237" spans="4:24" ht="12.75" customHeight="1" x14ac:dyDescent="0.25">
      <c r="D237" s="138"/>
      <c r="E237" s="138"/>
      <c r="L237" s="138"/>
      <c r="O237" s="138"/>
      <c r="R237" s="138"/>
      <c r="U237" s="138"/>
      <c r="X237" s="138"/>
    </row>
    <row r="238" spans="4:24" ht="12.75" customHeight="1" x14ac:dyDescent="0.25">
      <c r="D238" s="138"/>
      <c r="E238" s="138"/>
      <c r="L238" s="138"/>
      <c r="O238" s="138"/>
      <c r="R238" s="138"/>
      <c r="U238" s="138"/>
      <c r="X238" s="138"/>
    </row>
    <row r="239" spans="4:24" ht="12.75" customHeight="1" x14ac:dyDescent="0.25">
      <c r="D239" s="138"/>
      <c r="E239" s="138"/>
      <c r="L239" s="138"/>
      <c r="O239" s="138"/>
      <c r="R239" s="138"/>
      <c r="U239" s="138"/>
      <c r="X239" s="138"/>
    </row>
    <row r="240" spans="4:24" ht="12.75" customHeight="1" x14ac:dyDescent="0.25">
      <c r="D240" s="138"/>
      <c r="E240" s="138"/>
      <c r="L240" s="138"/>
      <c r="O240" s="138"/>
      <c r="R240" s="138"/>
      <c r="U240" s="138"/>
      <c r="X240" s="138"/>
    </row>
    <row r="241" spans="4:24" ht="12.75" customHeight="1" x14ac:dyDescent="0.25">
      <c r="D241" s="138"/>
      <c r="E241" s="138"/>
      <c r="L241" s="138"/>
      <c r="O241" s="138"/>
      <c r="R241" s="138"/>
      <c r="U241" s="138"/>
      <c r="X241" s="138"/>
    </row>
    <row r="242" spans="4:24" ht="12.75" customHeight="1" x14ac:dyDescent="0.25">
      <c r="D242" s="138"/>
      <c r="E242" s="138"/>
      <c r="L242" s="138"/>
      <c r="O242" s="138"/>
      <c r="R242" s="138"/>
      <c r="U242" s="138"/>
      <c r="X242" s="138"/>
    </row>
    <row r="243" spans="4:24" ht="12.75" customHeight="1" x14ac:dyDescent="0.25">
      <c r="D243" s="138"/>
      <c r="E243" s="138"/>
      <c r="L243" s="138"/>
      <c r="O243" s="138"/>
      <c r="R243" s="138"/>
      <c r="U243" s="138"/>
      <c r="X243" s="138"/>
    </row>
    <row r="244" spans="4:24" ht="12.75" customHeight="1" x14ac:dyDescent="0.25">
      <c r="D244" s="138"/>
      <c r="E244" s="138"/>
      <c r="L244" s="138"/>
      <c r="O244" s="138"/>
      <c r="R244" s="138"/>
      <c r="U244" s="138"/>
      <c r="X244" s="138"/>
    </row>
    <row r="245" spans="4:24" ht="12.75" customHeight="1" x14ac:dyDescent="0.25">
      <c r="D245" s="138"/>
      <c r="E245" s="138"/>
      <c r="L245" s="138"/>
      <c r="O245" s="138"/>
      <c r="R245" s="138"/>
      <c r="U245" s="138"/>
      <c r="X245" s="138"/>
    </row>
    <row r="246" spans="4:24" ht="12.75" customHeight="1" x14ac:dyDescent="0.25">
      <c r="D246" s="138"/>
      <c r="E246" s="138"/>
      <c r="L246" s="138"/>
      <c r="O246" s="138"/>
      <c r="R246" s="138"/>
      <c r="U246" s="138"/>
      <c r="X246" s="138"/>
    </row>
    <row r="247" spans="4:24" ht="12.75" customHeight="1" x14ac:dyDescent="0.25">
      <c r="D247" s="138"/>
      <c r="E247" s="138"/>
      <c r="L247" s="138"/>
      <c r="O247" s="138"/>
      <c r="R247" s="138"/>
      <c r="U247" s="138"/>
      <c r="X247" s="138"/>
    </row>
    <row r="248" spans="4:24" ht="12.75" customHeight="1" x14ac:dyDescent="0.25">
      <c r="D248" s="138"/>
      <c r="E248" s="138"/>
      <c r="L248" s="138"/>
      <c r="O248" s="138"/>
      <c r="R248" s="138"/>
      <c r="U248" s="138"/>
      <c r="X248" s="138"/>
    </row>
    <row r="249" spans="4:24" ht="12.75" customHeight="1" x14ac:dyDescent="0.25">
      <c r="D249" s="138"/>
      <c r="E249" s="138"/>
      <c r="L249" s="138"/>
      <c r="O249" s="138"/>
      <c r="R249" s="138"/>
      <c r="U249" s="138"/>
      <c r="X249" s="138"/>
    </row>
    <row r="250" spans="4:24" ht="12.75" customHeight="1" x14ac:dyDescent="0.25">
      <c r="D250" s="138"/>
      <c r="E250" s="138"/>
      <c r="L250" s="138"/>
      <c r="O250" s="138"/>
      <c r="R250" s="138"/>
      <c r="U250" s="138"/>
      <c r="X250" s="138"/>
    </row>
    <row r="251" spans="4:24" ht="12.75" customHeight="1" x14ac:dyDescent="0.25">
      <c r="D251" s="138"/>
      <c r="E251" s="138"/>
      <c r="L251" s="138"/>
      <c r="O251" s="138"/>
      <c r="R251" s="138"/>
      <c r="U251" s="138"/>
      <c r="X251" s="138"/>
    </row>
    <row r="252" spans="4:24" ht="12.75" customHeight="1" x14ac:dyDescent="0.25">
      <c r="D252" s="138"/>
      <c r="E252" s="138"/>
      <c r="L252" s="138"/>
      <c r="O252" s="138"/>
      <c r="R252" s="138"/>
      <c r="U252" s="138"/>
      <c r="X252" s="138"/>
    </row>
    <row r="253" spans="4:24" ht="12.75" customHeight="1" x14ac:dyDescent="0.25">
      <c r="D253" s="138"/>
      <c r="E253" s="138"/>
      <c r="L253" s="138"/>
      <c r="O253" s="138"/>
      <c r="R253" s="138"/>
      <c r="U253" s="138"/>
      <c r="X253" s="138"/>
    </row>
    <row r="254" spans="4:24" ht="12.75" customHeight="1" x14ac:dyDescent="0.25">
      <c r="D254" s="138"/>
      <c r="E254" s="138"/>
      <c r="L254" s="138"/>
      <c r="O254" s="138"/>
      <c r="R254" s="138"/>
      <c r="U254" s="138"/>
      <c r="X254" s="138"/>
    </row>
    <row r="255" spans="4:24" ht="12.75" customHeight="1" x14ac:dyDescent="0.25">
      <c r="D255" s="138"/>
      <c r="E255" s="138"/>
      <c r="L255" s="138"/>
      <c r="O255" s="138"/>
      <c r="R255" s="138"/>
      <c r="U255" s="138"/>
      <c r="X255" s="138"/>
    </row>
    <row r="256" spans="4:24" ht="12.75" customHeight="1" x14ac:dyDescent="0.25">
      <c r="D256" s="138"/>
      <c r="E256" s="138"/>
      <c r="L256" s="138"/>
      <c r="O256" s="138"/>
      <c r="R256" s="138"/>
      <c r="U256" s="138"/>
      <c r="X256" s="138"/>
    </row>
    <row r="257" spans="4:24" ht="12.75" customHeight="1" x14ac:dyDescent="0.25">
      <c r="D257" s="138"/>
      <c r="E257" s="138"/>
      <c r="L257" s="138"/>
      <c r="O257" s="138"/>
      <c r="R257" s="138"/>
      <c r="U257" s="138"/>
      <c r="X257" s="138"/>
    </row>
    <row r="258" spans="4:24" ht="12.75" customHeight="1" x14ac:dyDescent="0.25">
      <c r="D258" s="138"/>
      <c r="E258" s="138"/>
      <c r="L258" s="138"/>
      <c r="O258" s="138"/>
      <c r="R258" s="138"/>
      <c r="U258" s="138"/>
      <c r="X258" s="138"/>
    </row>
    <row r="259" spans="4:24" ht="12.75" customHeight="1" x14ac:dyDescent="0.25">
      <c r="D259" s="138"/>
      <c r="E259" s="138"/>
      <c r="L259" s="138"/>
      <c r="O259" s="138"/>
      <c r="R259" s="138"/>
      <c r="U259" s="138"/>
      <c r="X259" s="138"/>
    </row>
    <row r="260" spans="4:24" ht="12.75" customHeight="1" x14ac:dyDescent="0.25">
      <c r="D260" s="138"/>
      <c r="E260" s="138"/>
      <c r="L260" s="138"/>
      <c r="O260" s="138"/>
      <c r="R260" s="138"/>
      <c r="U260" s="138"/>
      <c r="X260" s="138"/>
    </row>
    <row r="261" spans="4:24" ht="12.75" customHeight="1" x14ac:dyDescent="0.25">
      <c r="D261" s="138"/>
      <c r="E261" s="138"/>
      <c r="L261" s="138"/>
      <c r="O261" s="138"/>
      <c r="R261" s="138"/>
      <c r="U261" s="138"/>
      <c r="X261" s="138"/>
    </row>
    <row r="262" spans="4:24" ht="12.75" customHeight="1" x14ac:dyDescent="0.25">
      <c r="D262" s="138"/>
      <c r="E262" s="138"/>
      <c r="L262" s="138"/>
      <c r="O262" s="138"/>
      <c r="R262" s="138"/>
      <c r="U262" s="138"/>
      <c r="X262" s="138"/>
    </row>
    <row r="263" spans="4:24" ht="12.75" customHeight="1" x14ac:dyDescent="0.25">
      <c r="D263" s="138"/>
      <c r="E263" s="138"/>
      <c r="L263" s="138"/>
      <c r="O263" s="138"/>
      <c r="R263" s="138"/>
      <c r="U263" s="138"/>
      <c r="X263" s="138"/>
    </row>
    <row r="264" spans="4:24" ht="12.75" customHeight="1" x14ac:dyDescent="0.25">
      <c r="D264" s="138"/>
      <c r="E264" s="138"/>
      <c r="L264" s="138"/>
      <c r="O264" s="138"/>
      <c r="R264" s="138"/>
      <c r="U264" s="138"/>
      <c r="X264" s="138"/>
    </row>
    <row r="265" spans="4:24" ht="12.75" customHeight="1" x14ac:dyDescent="0.25">
      <c r="D265" s="138"/>
      <c r="E265" s="138"/>
      <c r="L265" s="138"/>
      <c r="O265" s="138"/>
      <c r="R265" s="138"/>
      <c r="U265" s="138"/>
      <c r="X265" s="138"/>
    </row>
    <row r="266" spans="4:24" ht="12.75" customHeight="1" x14ac:dyDescent="0.25">
      <c r="D266" s="138"/>
      <c r="E266" s="138"/>
      <c r="L266" s="138"/>
      <c r="O266" s="138"/>
      <c r="R266" s="138"/>
      <c r="U266" s="138"/>
      <c r="X266" s="138"/>
    </row>
    <row r="267" spans="4:24" ht="12.75" customHeight="1" x14ac:dyDescent="0.25">
      <c r="D267" s="138"/>
      <c r="E267" s="138"/>
      <c r="L267" s="138"/>
      <c r="O267" s="138"/>
      <c r="R267" s="138"/>
      <c r="U267" s="138"/>
      <c r="X267" s="138"/>
    </row>
    <row r="268" spans="4:24" ht="12.75" customHeight="1" x14ac:dyDescent="0.25">
      <c r="D268" s="138"/>
      <c r="E268" s="138"/>
      <c r="L268" s="138"/>
      <c r="O268" s="138"/>
      <c r="R268" s="138"/>
      <c r="U268" s="138"/>
      <c r="X268" s="138"/>
    </row>
    <row r="269" spans="4:24" ht="12.75" customHeight="1" x14ac:dyDescent="0.25">
      <c r="D269" s="138"/>
      <c r="E269" s="138"/>
      <c r="L269" s="138"/>
      <c r="O269" s="138"/>
      <c r="R269" s="138"/>
      <c r="U269" s="138"/>
      <c r="X269" s="138"/>
    </row>
    <row r="270" spans="4:24" ht="12.75" customHeight="1" x14ac:dyDescent="0.25">
      <c r="D270" s="138"/>
      <c r="E270" s="138"/>
      <c r="L270" s="138"/>
      <c r="O270" s="138"/>
      <c r="R270" s="138"/>
      <c r="U270" s="138"/>
      <c r="X270" s="138"/>
    </row>
    <row r="271" spans="4:24" ht="12.75" customHeight="1" x14ac:dyDescent="0.25">
      <c r="D271" s="138"/>
      <c r="E271" s="138"/>
      <c r="L271" s="138"/>
      <c r="O271" s="138"/>
      <c r="R271" s="138"/>
      <c r="U271" s="138"/>
      <c r="X271" s="138"/>
    </row>
    <row r="272" spans="4:24" ht="12.75" customHeight="1" x14ac:dyDescent="0.25">
      <c r="D272" s="138"/>
      <c r="E272" s="138"/>
      <c r="L272" s="138"/>
      <c r="O272" s="138"/>
      <c r="R272" s="138"/>
      <c r="U272" s="138"/>
      <c r="X272" s="138"/>
    </row>
    <row r="273" spans="4:24" ht="12.75" customHeight="1" x14ac:dyDescent="0.25">
      <c r="D273" s="138"/>
      <c r="E273" s="138"/>
      <c r="L273" s="138"/>
      <c r="O273" s="138"/>
      <c r="R273" s="138"/>
      <c r="U273" s="138"/>
      <c r="X273" s="138"/>
    </row>
    <row r="274" spans="4:24" ht="12.75" customHeight="1" x14ac:dyDescent="0.25">
      <c r="D274" s="138"/>
      <c r="E274" s="138"/>
      <c r="L274" s="138"/>
      <c r="O274" s="138"/>
      <c r="R274" s="138"/>
      <c r="U274" s="138"/>
      <c r="X274" s="138"/>
    </row>
    <row r="275" spans="4:24" ht="12.75" customHeight="1" x14ac:dyDescent="0.25">
      <c r="D275" s="138"/>
      <c r="E275" s="138"/>
      <c r="L275" s="138"/>
      <c r="O275" s="138"/>
      <c r="R275" s="138"/>
      <c r="U275" s="138"/>
      <c r="X275" s="138"/>
    </row>
    <row r="276" spans="4:24" ht="12.75" customHeight="1" x14ac:dyDescent="0.25">
      <c r="D276" s="138"/>
      <c r="E276" s="138"/>
      <c r="L276" s="138"/>
      <c r="O276" s="138"/>
      <c r="R276" s="138"/>
      <c r="U276" s="138"/>
      <c r="X276" s="138"/>
    </row>
    <row r="277" spans="4:24" ht="12.75" customHeight="1" x14ac:dyDescent="0.25">
      <c r="D277" s="138"/>
      <c r="E277" s="138"/>
      <c r="L277" s="138"/>
      <c r="O277" s="138"/>
      <c r="R277" s="138"/>
      <c r="U277" s="138"/>
      <c r="X277" s="138"/>
    </row>
    <row r="278" spans="4:24" ht="12.75" customHeight="1" x14ac:dyDescent="0.25">
      <c r="D278" s="138"/>
      <c r="E278" s="138"/>
      <c r="L278" s="138"/>
      <c r="O278" s="138"/>
      <c r="R278" s="138"/>
      <c r="U278" s="138"/>
      <c r="X278" s="138"/>
    </row>
    <row r="279" spans="4:24" ht="12.75" customHeight="1" x14ac:dyDescent="0.25">
      <c r="D279" s="138"/>
      <c r="E279" s="138"/>
      <c r="L279" s="138"/>
      <c r="O279" s="138"/>
      <c r="R279" s="138"/>
      <c r="U279" s="138"/>
      <c r="X279" s="138"/>
    </row>
    <row r="280" spans="4:24" ht="12.75" customHeight="1" x14ac:dyDescent="0.25">
      <c r="D280" s="138"/>
      <c r="E280" s="138"/>
      <c r="L280" s="138"/>
      <c r="O280" s="138"/>
      <c r="R280" s="138"/>
      <c r="U280" s="138"/>
      <c r="X280" s="138"/>
    </row>
    <row r="281" spans="4:24" ht="12.75" customHeight="1" x14ac:dyDescent="0.25">
      <c r="D281" s="138"/>
      <c r="E281" s="138"/>
      <c r="L281" s="138"/>
      <c r="O281" s="138"/>
      <c r="R281" s="138"/>
      <c r="U281" s="138"/>
      <c r="X281" s="138"/>
    </row>
    <row r="282" spans="4:24" ht="12.75" customHeight="1" x14ac:dyDescent="0.25">
      <c r="D282" s="138"/>
      <c r="E282" s="138"/>
      <c r="L282" s="138"/>
      <c r="O282" s="138"/>
      <c r="R282" s="138"/>
      <c r="U282" s="138"/>
      <c r="X282" s="138"/>
    </row>
    <row r="283" spans="4:24" ht="12.75" customHeight="1" x14ac:dyDescent="0.25">
      <c r="D283" s="138"/>
      <c r="E283" s="138"/>
      <c r="L283" s="138"/>
      <c r="O283" s="138"/>
      <c r="R283" s="138"/>
      <c r="U283" s="138"/>
      <c r="X283" s="138"/>
    </row>
    <row r="284" spans="4:24" ht="12.75" customHeight="1" x14ac:dyDescent="0.25">
      <c r="D284" s="138"/>
      <c r="E284" s="138"/>
      <c r="L284" s="138"/>
      <c r="O284" s="138"/>
      <c r="R284" s="138"/>
      <c r="U284" s="138"/>
      <c r="X284" s="138"/>
    </row>
    <row r="285" spans="4:24" ht="12.75" customHeight="1" x14ac:dyDescent="0.25">
      <c r="D285" s="138"/>
      <c r="E285" s="138"/>
      <c r="L285" s="138"/>
      <c r="O285" s="138"/>
      <c r="R285" s="138"/>
      <c r="U285" s="138"/>
      <c r="X285" s="138"/>
    </row>
    <row r="286" spans="4:24" ht="12.75" customHeight="1" x14ac:dyDescent="0.25">
      <c r="D286" s="138"/>
      <c r="E286" s="138"/>
      <c r="L286" s="138"/>
      <c r="O286" s="138"/>
      <c r="R286" s="138"/>
      <c r="U286" s="138"/>
      <c r="X286" s="138"/>
    </row>
    <row r="287" spans="4:24" ht="12.75" customHeight="1" x14ac:dyDescent="0.25">
      <c r="D287" s="138"/>
      <c r="E287" s="138"/>
      <c r="L287" s="138"/>
      <c r="O287" s="138"/>
      <c r="R287" s="138"/>
      <c r="U287" s="138"/>
      <c r="X287" s="138"/>
    </row>
    <row r="288" spans="4:24" ht="12.75" customHeight="1" x14ac:dyDescent="0.25">
      <c r="D288" s="138"/>
      <c r="E288" s="138"/>
      <c r="L288" s="138"/>
      <c r="O288" s="138"/>
      <c r="R288" s="138"/>
      <c r="U288" s="138"/>
      <c r="X288" s="138"/>
    </row>
    <row r="289" spans="4:24" ht="12.75" customHeight="1" x14ac:dyDescent="0.25">
      <c r="D289" s="138"/>
      <c r="E289" s="138"/>
      <c r="L289" s="138"/>
      <c r="O289" s="138"/>
      <c r="R289" s="138"/>
      <c r="U289" s="138"/>
      <c r="X289" s="138"/>
    </row>
    <row r="290" spans="4:24" ht="12.75" customHeight="1" x14ac:dyDescent="0.25">
      <c r="D290" s="138"/>
      <c r="E290" s="138"/>
      <c r="L290" s="138"/>
      <c r="O290" s="138"/>
      <c r="R290" s="138"/>
      <c r="U290" s="138"/>
      <c r="X290" s="138"/>
    </row>
    <row r="291" spans="4:24" ht="12.75" customHeight="1" x14ac:dyDescent="0.25">
      <c r="D291" s="138"/>
      <c r="E291" s="138"/>
      <c r="L291" s="138"/>
      <c r="O291" s="138"/>
      <c r="R291" s="138"/>
      <c r="U291" s="138"/>
      <c r="X291" s="138"/>
    </row>
    <row r="292" spans="4:24" ht="12.75" customHeight="1" x14ac:dyDescent="0.25">
      <c r="D292" s="138"/>
      <c r="E292" s="138"/>
      <c r="L292" s="138"/>
      <c r="O292" s="138"/>
      <c r="R292" s="138"/>
      <c r="U292" s="138"/>
      <c r="X292" s="138"/>
    </row>
    <row r="293" spans="4:24" ht="12.75" customHeight="1" x14ac:dyDescent="0.25">
      <c r="D293" s="138"/>
      <c r="E293" s="138"/>
      <c r="L293" s="138"/>
      <c r="O293" s="138"/>
      <c r="R293" s="138"/>
      <c r="U293" s="138"/>
      <c r="X293" s="138"/>
    </row>
    <row r="294" spans="4:24" ht="12.75" customHeight="1" x14ac:dyDescent="0.25">
      <c r="D294" s="138"/>
      <c r="E294" s="138"/>
      <c r="L294" s="138"/>
      <c r="O294" s="138"/>
      <c r="R294" s="138"/>
      <c r="U294" s="138"/>
      <c r="X294" s="138"/>
    </row>
    <row r="295" spans="4:24" ht="12.75" customHeight="1" x14ac:dyDescent="0.25">
      <c r="D295" s="138"/>
      <c r="E295" s="138"/>
      <c r="L295" s="138"/>
      <c r="O295" s="138"/>
      <c r="R295" s="138"/>
      <c r="U295" s="138"/>
      <c r="X295" s="138"/>
    </row>
    <row r="296" spans="4:24" ht="12.75" customHeight="1" x14ac:dyDescent="0.25">
      <c r="D296" s="138"/>
      <c r="E296" s="138"/>
      <c r="L296" s="138"/>
      <c r="O296" s="138"/>
      <c r="R296" s="138"/>
      <c r="U296" s="138"/>
      <c r="X296" s="138"/>
    </row>
    <row r="297" spans="4:24" ht="12.75" customHeight="1" x14ac:dyDescent="0.25">
      <c r="D297" s="138"/>
      <c r="E297" s="138"/>
      <c r="L297" s="138"/>
      <c r="O297" s="138"/>
      <c r="R297" s="138"/>
      <c r="U297" s="138"/>
      <c r="X297" s="138"/>
    </row>
    <row r="298" spans="4:24" ht="12.75" customHeight="1" x14ac:dyDescent="0.25">
      <c r="D298" s="138"/>
      <c r="E298" s="138"/>
      <c r="L298" s="138"/>
      <c r="O298" s="138"/>
      <c r="R298" s="138"/>
      <c r="U298" s="138"/>
      <c r="X298" s="138"/>
    </row>
    <row r="299" spans="4:24" ht="12.75" customHeight="1" x14ac:dyDescent="0.25">
      <c r="D299" s="138"/>
      <c r="E299" s="138"/>
      <c r="L299" s="138"/>
      <c r="O299" s="138"/>
      <c r="R299" s="138"/>
      <c r="U299" s="138"/>
      <c r="X299" s="138"/>
    </row>
    <row r="300" spans="4:24" ht="12.75" customHeight="1" x14ac:dyDescent="0.25">
      <c r="D300" s="138"/>
      <c r="E300" s="138"/>
      <c r="L300" s="138"/>
      <c r="O300" s="138"/>
      <c r="R300" s="138"/>
      <c r="U300" s="138"/>
      <c r="X300" s="138"/>
    </row>
    <row r="301" spans="4:24" ht="12.75" customHeight="1" x14ac:dyDescent="0.25">
      <c r="D301" s="138"/>
      <c r="E301" s="138"/>
      <c r="L301" s="138"/>
      <c r="O301" s="138"/>
      <c r="R301" s="138"/>
      <c r="U301" s="138"/>
      <c r="X301" s="138"/>
    </row>
    <row r="302" spans="4:24" ht="12.75" customHeight="1" x14ac:dyDescent="0.25">
      <c r="D302" s="138"/>
      <c r="E302" s="138"/>
      <c r="L302" s="138"/>
      <c r="O302" s="138"/>
      <c r="R302" s="138"/>
      <c r="U302" s="138"/>
      <c r="X302" s="138"/>
    </row>
    <row r="303" spans="4:24" ht="12.75" customHeight="1" x14ac:dyDescent="0.25">
      <c r="D303" s="138"/>
      <c r="E303" s="138"/>
      <c r="L303" s="138"/>
      <c r="O303" s="138"/>
      <c r="R303" s="138"/>
      <c r="U303" s="138"/>
      <c r="X303" s="138"/>
    </row>
    <row r="304" spans="4:24" ht="12.75" customHeight="1" x14ac:dyDescent="0.25">
      <c r="D304" s="138"/>
      <c r="E304" s="138"/>
      <c r="L304" s="138"/>
      <c r="O304" s="138"/>
      <c r="R304" s="138"/>
      <c r="U304" s="138"/>
      <c r="X304" s="138"/>
    </row>
    <row r="305" spans="4:24" ht="12.75" customHeight="1" x14ac:dyDescent="0.25">
      <c r="D305" s="138"/>
      <c r="E305" s="138"/>
      <c r="L305" s="138"/>
      <c r="O305" s="138"/>
      <c r="R305" s="138"/>
      <c r="U305" s="138"/>
      <c r="X305" s="138"/>
    </row>
    <row r="306" spans="4:24" ht="12.75" customHeight="1" x14ac:dyDescent="0.25">
      <c r="D306" s="138"/>
      <c r="E306" s="138"/>
      <c r="L306" s="138"/>
      <c r="O306" s="138"/>
      <c r="R306" s="138"/>
      <c r="U306" s="138"/>
      <c r="X306" s="138"/>
    </row>
    <row r="307" spans="4:24" ht="12.75" customHeight="1" x14ac:dyDescent="0.25">
      <c r="D307" s="138"/>
      <c r="E307" s="138"/>
      <c r="L307" s="138"/>
      <c r="O307" s="138"/>
      <c r="R307" s="138"/>
      <c r="U307" s="138"/>
      <c r="X307" s="138"/>
    </row>
    <row r="308" spans="4:24" ht="12.75" customHeight="1" x14ac:dyDescent="0.25">
      <c r="D308" s="138"/>
      <c r="E308" s="138"/>
      <c r="L308" s="138"/>
      <c r="O308" s="138"/>
      <c r="R308" s="138"/>
      <c r="U308" s="138"/>
      <c r="X308" s="138"/>
    </row>
    <row r="309" spans="4:24" ht="12.75" customHeight="1" x14ac:dyDescent="0.25">
      <c r="D309" s="138"/>
      <c r="E309" s="138"/>
      <c r="L309" s="138"/>
      <c r="O309" s="138"/>
      <c r="R309" s="138"/>
      <c r="U309" s="138"/>
      <c r="X309" s="138"/>
    </row>
    <row r="310" spans="4:24" ht="12.75" customHeight="1" x14ac:dyDescent="0.25">
      <c r="D310" s="138"/>
      <c r="E310" s="138"/>
      <c r="L310" s="138"/>
      <c r="O310" s="138"/>
      <c r="R310" s="138"/>
      <c r="U310" s="138"/>
      <c r="X310" s="138"/>
    </row>
    <row r="311" spans="4:24" ht="12.75" customHeight="1" x14ac:dyDescent="0.25">
      <c r="D311" s="138"/>
      <c r="E311" s="138"/>
      <c r="L311" s="138"/>
      <c r="O311" s="138"/>
      <c r="R311" s="138"/>
      <c r="U311" s="138"/>
      <c r="X311" s="138"/>
    </row>
    <row r="312" spans="4:24" ht="12.75" customHeight="1" x14ac:dyDescent="0.25">
      <c r="D312" s="138"/>
      <c r="E312" s="138"/>
      <c r="L312" s="138"/>
      <c r="O312" s="138"/>
      <c r="R312" s="138"/>
      <c r="U312" s="138"/>
      <c r="X312" s="138"/>
    </row>
    <row r="313" spans="4:24" ht="12.75" customHeight="1" x14ac:dyDescent="0.25">
      <c r="D313" s="138"/>
      <c r="E313" s="138"/>
      <c r="L313" s="138"/>
      <c r="O313" s="138"/>
      <c r="R313" s="138"/>
      <c r="U313" s="138"/>
      <c r="X313" s="138"/>
    </row>
    <row r="314" spans="4:24" ht="12.75" customHeight="1" x14ac:dyDescent="0.25">
      <c r="D314" s="138"/>
      <c r="E314" s="138"/>
      <c r="L314" s="138"/>
      <c r="O314" s="138"/>
      <c r="R314" s="138"/>
      <c r="U314" s="138"/>
      <c r="X314" s="138"/>
    </row>
    <row r="315" spans="4:24" ht="12.75" customHeight="1" x14ac:dyDescent="0.25">
      <c r="D315" s="138"/>
      <c r="E315" s="138"/>
      <c r="L315" s="138"/>
      <c r="O315" s="138"/>
      <c r="R315" s="138"/>
      <c r="U315" s="138"/>
      <c r="X315" s="138"/>
    </row>
    <row r="316" spans="4:24" ht="12.75" customHeight="1" x14ac:dyDescent="0.25">
      <c r="D316" s="138"/>
      <c r="E316" s="138"/>
      <c r="L316" s="138"/>
      <c r="O316" s="138"/>
      <c r="R316" s="138"/>
      <c r="U316" s="138"/>
      <c r="X316" s="138"/>
    </row>
    <row r="317" spans="4:24" ht="12.75" customHeight="1" x14ac:dyDescent="0.25">
      <c r="D317" s="138"/>
      <c r="E317" s="138"/>
      <c r="L317" s="138"/>
      <c r="O317" s="138"/>
      <c r="R317" s="138"/>
      <c r="U317" s="138"/>
      <c r="X317" s="138"/>
    </row>
    <row r="318" spans="4:24" ht="12.75" customHeight="1" x14ac:dyDescent="0.25">
      <c r="D318" s="138"/>
      <c r="E318" s="138"/>
      <c r="L318" s="138"/>
      <c r="O318" s="138"/>
      <c r="R318" s="138"/>
      <c r="U318" s="138"/>
      <c r="X318" s="138"/>
    </row>
    <row r="319" spans="4:24" ht="12.75" customHeight="1" x14ac:dyDescent="0.25">
      <c r="D319" s="138"/>
      <c r="E319" s="138"/>
      <c r="L319" s="138"/>
      <c r="O319" s="138"/>
      <c r="R319" s="138"/>
      <c r="U319" s="138"/>
      <c r="X319" s="138"/>
    </row>
    <row r="320" spans="4:24" ht="12.75" customHeight="1" x14ac:dyDescent="0.25">
      <c r="D320" s="138"/>
      <c r="E320" s="138"/>
      <c r="L320" s="138"/>
      <c r="O320" s="138"/>
      <c r="R320" s="138"/>
      <c r="U320" s="138"/>
      <c r="X320" s="138"/>
    </row>
    <row r="321" spans="4:24" ht="12.75" customHeight="1" x14ac:dyDescent="0.25">
      <c r="D321" s="138"/>
      <c r="E321" s="138"/>
      <c r="L321" s="138"/>
      <c r="O321" s="138"/>
      <c r="R321" s="138"/>
      <c r="U321" s="138"/>
      <c r="X321" s="138"/>
    </row>
    <row r="322" spans="4:24" ht="12.75" customHeight="1" x14ac:dyDescent="0.25">
      <c r="D322" s="138"/>
      <c r="E322" s="138"/>
      <c r="L322" s="138"/>
      <c r="O322" s="138"/>
      <c r="R322" s="138"/>
      <c r="U322" s="138"/>
      <c r="X322" s="138"/>
    </row>
    <row r="323" spans="4:24" ht="12.75" customHeight="1" x14ac:dyDescent="0.25">
      <c r="D323" s="138"/>
      <c r="E323" s="138"/>
      <c r="L323" s="138"/>
      <c r="O323" s="138"/>
      <c r="R323" s="138"/>
      <c r="U323" s="138"/>
      <c r="X323" s="138"/>
    </row>
    <row r="324" spans="4:24" ht="12.75" customHeight="1" x14ac:dyDescent="0.25">
      <c r="D324" s="138"/>
      <c r="E324" s="138"/>
      <c r="L324" s="138"/>
      <c r="O324" s="138"/>
      <c r="R324" s="138"/>
      <c r="U324" s="138"/>
      <c r="X324" s="138"/>
    </row>
    <row r="325" spans="4:24" ht="12.75" customHeight="1" x14ac:dyDescent="0.25">
      <c r="D325" s="138"/>
      <c r="E325" s="138"/>
      <c r="L325" s="138"/>
      <c r="O325" s="138"/>
      <c r="R325" s="138"/>
      <c r="U325" s="138"/>
      <c r="X325" s="138"/>
    </row>
    <row r="326" spans="4:24" ht="12.75" customHeight="1" x14ac:dyDescent="0.25">
      <c r="D326" s="138"/>
      <c r="E326" s="138"/>
      <c r="L326" s="138"/>
      <c r="O326" s="138"/>
      <c r="R326" s="138"/>
      <c r="U326" s="138"/>
      <c r="X326" s="138"/>
    </row>
    <row r="327" spans="4:24" ht="12.75" customHeight="1" x14ac:dyDescent="0.25">
      <c r="D327" s="138"/>
      <c r="E327" s="138"/>
      <c r="L327" s="138"/>
      <c r="O327" s="138"/>
      <c r="R327" s="138"/>
      <c r="U327" s="138"/>
      <c r="X327" s="138"/>
    </row>
    <row r="328" spans="4:24" ht="12.75" customHeight="1" x14ac:dyDescent="0.25">
      <c r="D328" s="138"/>
      <c r="E328" s="138"/>
      <c r="L328" s="138"/>
      <c r="O328" s="138"/>
      <c r="R328" s="138"/>
      <c r="U328" s="138"/>
      <c r="X328" s="138"/>
    </row>
    <row r="329" spans="4:24" ht="12.75" customHeight="1" x14ac:dyDescent="0.25">
      <c r="D329" s="138"/>
      <c r="E329" s="138"/>
      <c r="L329" s="138"/>
      <c r="O329" s="138"/>
      <c r="R329" s="138"/>
      <c r="U329" s="138"/>
      <c r="X329" s="138"/>
    </row>
    <row r="330" spans="4:24" ht="12.75" customHeight="1" x14ac:dyDescent="0.25">
      <c r="D330" s="138"/>
      <c r="E330" s="138"/>
      <c r="L330" s="138"/>
      <c r="O330" s="138"/>
      <c r="R330" s="138"/>
      <c r="U330" s="138"/>
      <c r="X330" s="138"/>
    </row>
    <row r="331" spans="4:24" ht="12.75" customHeight="1" x14ac:dyDescent="0.25">
      <c r="D331" s="138"/>
      <c r="E331" s="138"/>
      <c r="L331" s="138"/>
      <c r="O331" s="138"/>
      <c r="R331" s="138"/>
      <c r="U331" s="138"/>
      <c r="X331" s="138"/>
    </row>
    <row r="332" spans="4:24" ht="12.75" customHeight="1" x14ac:dyDescent="0.25">
      <c r="D332" s="138"/>
      <c r="E332" s="138"/>
      <c r="L332" s="138"/>
      <c r="O332" s="138"/>
      <c r="R332" s="138"/>
      <c r="U332" s="138"/>
      <c r="X332" s="138"/>
    </row>
    <row r="333" spans="4:24" ht="12.75" customHeight="1" x14ac:dyDescent="0.25">
      <c r="D333" s="138"/>
      <c r="E333" s="138"/>
      <c r="L333" s="138"/>
      <c r="O333" s="138"/>
      <c r="R333" s="138"/>
      <c r="U333" s="138"/>
      <c r="X333" s="138"/>
    </row>
    <row r="334" spans="4:24" ht="12.75" customHeight="1" x14ac:dyDescent="0.25">
      <c r="D334" s="138"/>
      <c r="E334" s="138"/>
      <c r="L334" s="138"/>
      <c r="O334" s="138"/>
      <c r="R334" s="138"/>
      <c r="U334" s="138"/>
      <c r="X334" s="138"/>
    </row>
    <row r="335" spans="4:24" ht="12.75" customHeight="1" x14ac:dyDescent="0.25">
      <c r="D335" s="138"/>
      <c r="E335" s="138"/>
      <c r="L335" s="138"/>
      <c r="O335" s="138"/>
      <c r="R335" s="138"/>
      <c r="U335" s="138"/>
      <c r="X335" s="138"/>
    </row>
    <row r="336" spans="4:24" ht="12.75" customHeight="1" x14ac:dyDescent="0.25">
      <c r="D336" s="138"/>
      <c r="E336" s="138"/>
      <c r="L336" s="138"/>
      <c r="O336" s="138"/>
      <c r="R336" s="138"/>
      <c r="U336" s="138"/>
      <c r="X336" s="138"/>
    </row>
    <row r="337" spans="4:24" ht="12.75" customHeight="1" x14ac:dyDescent="0.25">
      <c r="D337" s="138"/>
      <c r="E337" s="138"/>
      <c r="L337" s="138"/>
      <c r="O337" s="138"/>
      <c r="R337" s="138"/>
      <c r="U337" s="138"/>
      <c r="X337" s="138"/>
    </row>
    <row r="338" spans="4:24" ht="12.75" customHeight="1" x14ac:dyDescent="0.25">
      <c r="D338" s="138"/>
      <c r="E338" s="138"/>
      <c r="L338" s="138"/>
      <c r="O338" s="138"/>
      <c r="R338" s="138"/>
      <c r="U338" s="138"/>
      <c r="X338" s="138"/>
    </row>
    <row r="339" spans="4:24" ht="12.75" customHeight="1" x14ac:dyDescent="0.25">
      <c r="D339" s="138"/>
      <c r="E339" s="138"/>
      <c r="L339" s="138"/>
      <c r="O339" s="138"/>
      <c r="R339" s="138"/>
      <c r="U339" s="138"/>
      <c r="X339" s="138"/>
    </row>
    <row r="340" spans="4:24" ht="12.75" customHeight="1" x14ac:dyDescent="0.25">
      <c r="D340" s="138"/>
      <c r="E340" s="138"/>
      <c r="L340" s="138"/>
      <c r="O340" s="138"/>
      <c r="R340" s="138"/>
      <c r="U340" s="138"/>
      <c r="X340" s="138"/>
    </row>
    <row r="341" spans="4:24" ht="12.75" customHeight="1" x14ac:dyDescent="0.25">
      <c r="D341" s="138"/>
      <c r="E341" s="138"/>
      <c r="L341" s="138"/>
      <c r="O341" s="138"/>
      <c r="R341" s="138"/>
      <c r="U341" s="138"/>
      <c r="X341" s="138"/>
    </row>
    <row r="342" spans="4:24" ht="12.75" customHeight="1" x14ac:dyDescent="0.25">
      <c r="D342" s="138"/>
      <c r="E342" s="138"/>
      <c r="L342" s="138"/>
      <c r="O342" s="138"/>
      <c r="R342" s="138"/>
      <c r="U342" s="138"/>
      <c r="X342" s="138"/>
    </row>
    <row r="343" spans="4:24" ht="12.75" customHeight="1" x14ac:dyDescent="0.25">
      <c r="D343" s="138"/>
      <c r="E343" s="138"/>
      <c r="L343" s="138"/>
      <c r="O343" s="138"/>
      <c r="R343" s="138"/>
      <c r="U343" s="138"/>
      <c r="X343" s="138"/>
    </row>
    <row r="344" spans="4:24" ht="12.75" customHeight="1" x14ac:dyDescent="0.25">
      <c r="D344" s="138"/>
      <c r="E344" s="138"/>
      <c r="L344" s="138"/>
      <c r="O344" s="138"/>
      <c r="R344" s="138"/>
      <c r="U344" s="138"/>
      <c r="X344" s="138"/>
    </row>
    <row r="345" spans="4:24" ht="12.75" customHeight="1" x14ac:dyDescent="0.25">
      <c r="D345" s="138"/>
      <c r="E345" s="138"/>
      <c r="L345" s="138"/>
      <c r="O345" s="138"/>
      <c r="R345" s="138"/>
      <c r="U345" s="138"/>
      <c r="X345" s="138"/>
    </row>
    <row r="346" spans="4:24" ht="12.75" customHeight="1" x14ac:dyDescent="0.25">
      <c r="D346" s="138"/>
      <c r="E346" s="138"/>
      <c r="L346" s="138"/>
      <c r="O346" s="138"/>
      <c r="R346" s="138"/>
      <c r="U346" s="138"/>
      <c r="X346" s="138"/>
    </row>
    <row r="347" spans="4:24" ht="12.75" customHeight="1" x14ac:dyDescent="0.25">
      <c r="D347" s="138"/>
      <c r="E347" s="138"/>
      <c r="L347" s="138"/>
      <c r="O347" s="138"/>
      <c r="R347" s="138"/>
      <c r="U347" s="138"/>
      <c r="X347" s="138"/>
    </row>
    <row r="348" spans="4:24" ht="12.75" customHeight="1" x14ac:dyDescent="0.25">
      <c r="D348" s="138"/>
      <c r="E348" s="138"/>
      <c r="L348" s="138"/>
      <c r="O348" s="138"/>
      <c r="R348" s="138"/>
      <c r="U348" s="138"/>
      <c r="X348" s="138"/>
    </row>
    <row r="349" spans="4:24" ht="12.75" customHeight="1" x14ac:dyDescent="0.25">
      <c r="D349" s="138"/>
      <c r="E349" s="138"/>
      <c r="L349" s="138"/>
      <c r="O349" s="138"/>
      <c r="R349" s="138"/>
      <c r="U349" s="138"/>
      <c r="X349" s="138"/>
    </row>
    <row r="350" spans="4:24" ht="12.75" customHeight="1" x14ac:dyDescent="0.25">
      <c r="D350" s="138"/>
      <c r="E350" s="138"/>
      <c r="L350" s="138"/>
      <c r="O350" s="138"/>
      <c r="R350" s="138"/>
      <c r="U350" s="138"/>
      <c r="X350" s="138"/>
    </row>
    <row r="351" spans="4:24" ht="12.75" customHeight="1" x14ac:dyDescent="0.25">
      <c r="D351" s="138"/>
      <c r="E351" s="138"/>
      <c r="L351" s="138"/>
      <c r="O351" s="138"/>
      <c r="R351" s="138"/>
      <c r="U351" s="138"/>
      <c r="X351" s="138"/>
    </row>
    <row r="352" spans="4:24" ht="12.75" customHeight="1" x14ac:dyDescent="0.25">
      <c r="D352" s="138"/>
      <c r="E352" s="138"/>
      <c r="L352" s="138"/>
      <c r="O352" s="138"/>
      <c r="R352" s="138"/>
      <c r="U352" s="138"/>
      <c r="X352" s="138"/>
    </row>
    <row r="353" spans="4:24" ht="12.75" customHeight="1" x14ac:dyDescent="0.25">
      <c r="D353" s="138"/>
      <c r="E353" s="138"/>
      <c r="L353" s="138"/>
      <c r="O353" s="138"/>
      <c r="R353" s="138"/>
      <c r="U353" s="138"/>
      <c r="X353" s="138"/>
    </row>
    <row r="354" spans="4:24" ht="12.75" customHeight="1" x14ac:dyDescent="0.25">
      <c r="D354" s="138"/>
      <c r="E354" s="138"/>
      <c r="L354" s="138"/>
      <c r="O354" s="138"/>
      <c r="R354" s="138"/>
      <c r="U354" s="138"/>
      <c r="X354" s="138"/>
    </row>
    <row r="355" spans="4:24" ht="12.75" customHeight="1" x14ac:dyDescent="0.25">
      <c r="D355" s="138"/>
      <c r="E355" s="138"/>
      <c r="L355" s="138"/>
      <c r="O355" s="138"/>
      <c r="R355" s="138"/>
      <c r="U355" s="138"/>
      <c r="X355" s="138"/>
    </row>
    <row r="356" spans="4:24" ht="12.75" customHeight="1" x14ac:dyDescent="0.25">
      <c r="D356" s="138"/>
      <c r="E356" s="138"/>
      <c r="L356" s="138"/>
      <c r="O356" s="138"/>
      <c r="R356" s="138"/>
      <c r="U356" s="138"/>
      <c r="X356" s="138"/>
    </row>
    <row r="357" spans="4:24" ht="12.75" customHeight="1" x14ac:dyDescent="0.25">
      <c r="D357" s="138"/>
      <c r="E357" s="138"/>
      <c r="L357" s="138"/>
      <c r="O357" s="138"/>
      <c r="R357" s="138"/>
      <c r="U357" s="138"/>
      <c r="X357" s="138"/>
    </row>
    <row r="358" spans="4:24" ht="12.75" customHeight="1" x14ac:dyDescent="0.25">
      <c r="D358" s="138"/>
      <c r="E358" s="138"/>
      <c r="L358" s="138"/>
      <c r="O358" s="138"/>
      <c r="R358" s="138"/>
      <c r="U358" s="138"/>
      <c r="X358" s="138"/>
    </row>
    <row r="359" spans="4:24" ht="12.75" customHeight="1" x14ac:dyDescent="0.25">
      <c r="D359" s="138"/>
      <c r="E359" s="138"/>
      <c r="L359" s="138"/>
      <c r="O359" s="138"/>
      <c r="R359" s="138"/>
      <c r="U359" s="138"/>
      <c r="X359" s="138"/>
    </row>
    <row r="360" spans="4:24" ht="12.75" customHeight="1" x14ac:dyDescent="0.25">
      <c r="D360" s="138"/>
      <c r="E360" s="138"/>
      <c r="L360" s="138"/>
      <c r="O360" s="138"/>
      <c r="R360" s="138"/>
      <c r="U360" s="138"/>
      <c r="X360" s="138"/>
    </row>
    <row r="361" spans="4:24" ht="12.75" customHeight="1" x14ac:dyDescent="0.25">
      <c r="D361" s="138"/>
      <c r="E361" s="138"/>
      <c r="L361" s="138"/>
      <c r="O361" s="138"/>
      <c r="R361" s="138"/>
      <c r="U361" s="138"/>
      <c r="X361" s="138"/>
    </row>
    <row r="362" spans="4:24" ht="12.75" customHeight="1" x14ac:dyDescent="0.25">
      <c r="D362" s="138"/>
      <c r="E362" s="138"/>
      <c r="L362" s="138"/>
      <c r="O362" s="138"/>
      <c r="R362" s="138"/>
      <c r="U362" s="138"/>
      <c r="X362" s="138"/>
    </row>
    <row r="363" spans="4:24" ht="12.75" customHeight="1" x14ac:dyDescent="0.25">
      <c r="D363" s="138"/>
      <c r="E363" s="138"/>
      <c r="L363" s="138"/>
      <c r="O363" s="138"/>
      <c r="R363" s="138"/>
      <c r="U363" s="138"/>
      <c r="X363" s="138"/>
    </row>
    <row r="364" spans="4:24" ht="12.75" customHeight="1" x14ac:dyDescent="0.25">
      <c r="D364" s="138"/>
      <c r="E364" s="138"/>
      <c r="L364" s="138"/>
      <c r="O364" s="138"/>
      <c r="R364" s="138"/>
      <c r="U364" s="138"/>
      <c r="X364" s="138"/>
    </row>
    <row r="365" spans="4:24" ht="12.75" customHeight="1" x14ac:dyDescent="0.25">
      <c r="D365" s="138"/>
      <c r="E365" s="138"/>
      <c r="L365" s="138"/>
      <c r="O365" s="138"/>
      <c r="R365" s="138"/>
      <c r="U365" s="138"/>
      <c r="X365" s="138"/>
    </row>
    <row r="366" spans="4:24" ht="12.75" customHeight="1" x14ac:dyDescent="0.25">
      <c r="D366" s="138"/>
      <c r="E366" s="138"/>
      <c r="L366" s="138"/>
      <c r="O366" s="138"/>
      <c r="R366" s="138"/>
      <c r="U366" s="138"/>
      <c r="X366" s="138"/>
    </row>
    <row r="367" spans="4:24" ht="12.75" customHeight="1" x14ac:dyDescent="0.25">
      <c r="D367" s="138"/>
      <c r="E367" s="138"/>
      <c r="L367" s="138"/>
      <c r="O367" s="138"/>
      <c r="R367" s="138"/>
      <c r="U367" s="138"/>
      <c r="X367" s="138"/>
    </row>
    <row r="368" spans="4:24" ht="12.75" customHeight="1" x14ac:dyDescent="0.25">
      <c r="D368" s="138"/>
      <c r="E368" s="138"/>
      <c r="L368" s="138"/>
      <c r="O368" s="138"/>
      <c r="R368" s="138"/>
      <c r="U368" s="138"/>
      <c r="X368" s="138"/>
    </row>
    <row r="369" spans="4:24" ht="12.75" customHeight="1" x14ac:dyDescent="0.25">
      <c r="D369" s="138"/>
      <c r="E369" s="138"/>
      <c r="L369" s="138"/>
      <c r="O369" s="138"/>
      <c r="R369" s="138"/>
      <c r="U369" s="138"/>
      <c r="X369" s="138"/>
    </row>
    <row r="370" spans="4:24" ht="12.75" customHeight="1" x14ac:dyDescent="0.25">
      <c r="D370" s="138"/>
      <c r="E370" s="138"/>
      <c r="L370" s="138"/>
      <c r="O370" s="138"/>
      <c r="R370" s="138"/>
      <c r="U370" s="138"/>
      <c r="X370" s="138"/>
    </row>
    <row r="371" spans="4:24" ht="12.75" customHeight="1" x14ac:dyDescent="0.25">
      <c r="D371" s="138"/>
      <c r="E371" s="138"/>
      <c r="L371" s="138"/>
      <c r="O371" s="138"/>
      <c r="R371" s="138"/>
      <c r="U371" s="138"/>
      <c r="X371" s="138"/>
    </row>
    <row r="372" spans="4:24" ht="12.75" customHeight="1" x14ac:dyDescent="0.25">
      <c r="D372" s="138"/>
      <c r="E372" s="138"/>
      <c r="L372" s="138"/>
      <c r="O372" s="138"/>
      <c r="R372" s="138"/>
      <c r="U372" s="138"/>
      <c r="X372" s="138"/>
    </row>
    <row r="373" spans="4:24" ht="12.75" customHeight="1" x14ac:dyDescent="0.25">
      <c r="D373" s="138"/>
      <c r="E373" s="138"/>
      <c r="L373" s="138"/>
      <c r="O373" s="138"/>
      <c r="R373" s="138"/>
      <c r="U373" s="138"/>
      <c r="X373" s="138"/>
    </row>
    <row r="374" spans="4:24" ht="12.75" customHeight="1" x14ac:dyDescent="0.25">
      <c r="D374" s="138"/>
      <c r="E374" s="138"/>
      <c r="L374" s="138"/>
      <c r="O374" s="138"/>
      <c r="R374" s="138"/>
      <c r="U374" s="138"/>
      <c r="X374" s="138"/>
    </row>
    <row r="375" spans="4:24" ht="12.75" customHeight="1" x14ac:dyDescent="0.25">
      <c r="D375" s="138"/>
      <c r="E375" s="138"/>
      <c r="L375" s="138"/>
      <c r="O375" s="138"/>
      <c r="R375" s="138"/>
      <c r="U375" s="138"/>
      <c r="X375" s="138"/>
    </row>
    <row r="376" spans="4:24" ht="12.75" customHeight="1" x14ac:dyDescent="0.25">
      <c r="D376" s="138"/>
      <c r="E376" s="138"/>
      <c r="L376" s="138"/>
      <c r="O376" s="138"/>
      <c r="R376" s="138"/>
      <c r="U376" s="138"/>
      <c r="X376" s="138"/>
    </row>
    <row r="377" spans="4:24" ht="12.75" customHeight="1" x14ac:dyDescent="0.25">
      <c r="D377" s="138"/>
      <c r="E377" s="138"/>
      <c r="L377" s="138"/>
      <c r="O377" s="138"/>
      <c r="R377" s="138"/>
      <c r="U377" s="138"/>
      <c r="X377" s="138"/>
    </row>
    <row r="378" spans="4:24" ht="12.75" customHeight="1" x14ac:dyDescent="0.25">
      <c r="D378" s="138"/>
      <c r="E378" s="138"/>
      <c r="L378" s="138"/>
      <c r="O378" s="138"/>
      <c r="R378" s="138"/>
      <c r="U378" s="138"/>
      <c r="X378" s="138"/>
    </row>
    <row r="379" spans="4:24" ht="12.75" customHeight="1" x14ac:dyDescent="0.25">
      <c r="D379" s="138"/>
      <c r="E379" s="138"/>
      <c r="L379" s="138"/>
      <c r="O379" s="138"/>
      <c r="R379" s="138"/>
      <c r="U379" s="138"/>
      <c r="X379" s="138"/>
    </row>
    <row r="380" spans="4:24" ht="12.75" customHeight="1" x14ac:dyDescent="0.25">
      <c r="D380" s="138"/>
      <c r="E380" s="138"/>
      <c r="L380" s="138"/>
      <c r="O380" s="138"/>
      <c r="R380" s="138"/>
      <c r="U380" s="138"/>
      <c r="X380" s="138"/>
    </row>
    <row r="381" spans="4:24" ht="12.75" customHeight="1" x14ac:dyDescent="0.25">
      <c r="D381" s="138"/>
      <c r="E381" s="138"/>
      <c r="L381" s="138"/>
      <c r="O381" s="138"/>
      <c r="R381" s="138"/>
      <c r="U381" s="138"/>
      <c r="X381" s="138"/>
    </row>
    <row r="382" spans="4:24" ht="12.75" customHeight="1" x14ac:dyDescent="0.25">
      <c r="D382" s="138"/>
      <c r="E382" s="138"/>
      <c r="L382" s="138"/>
      <c r="O382" s="138"/>
      <c r="R382" s="138"/>
      <c r="U382" s="138"/>
      <c r="X382" s="138"/>
    </row>
    <row r="383" spans="4:24" ht="12.75" customHeight="1" x14ac:dyDescent="0.25">
      <c r="D383" s="138"/>
      <c r="E383" s="138"/>
      <c r="L383" s="138"/>
      <c r="O383" s="138"/>
      <c r="R383" s="138"/>
      <c r="U383" s="138"/>
      <c r="X383" s="138"/>
    </row>
    <row r="384" spans="4:24" ht="12.75" customHeight="1" x14ac:dyDescent="0.25">
      <c r="D384" s="138"/>
      <c r="E384" s="138"/>
      <c r="L384" s="138"/>
      <c r="O384" s="138"/>
      <c r="R384" s="138"/>
      <c r="U384" s="138"/>
      <c r="X384" s="138"/>
    </row>
    <row r="385" spans="4:24" ht="12.75" customHeight="1" x14ac:dyDescent="0.25">
      <c r="D385" s="138"/>
      <c r="E385" s="138"/>
      <c r="L385" s="138"/>
      <c r="O385" s="138"/>
      <c r="R385" s="138"/>
      <c r="U385" s="138"/>
      <c r="X385" s="138"/>
    </row>
    <row r="386" spans="4:24" ht="12.75" customHeight="1" x14ac:dyDescent="0.25">
      <c r="D386" s="138"/>
      <c r="E386" s="138"/>
      <c r="L386" s="138"/>
      <c r="O386" s="138"/>
      <c r="R386" s="138"/>
      <c r="U386" s="138"/>
      <c r="X386" s="138"/>
    </row>
    <row r="387" spans="4:24" ht="12.75" customHeight="1" x14ac:dyDescent="0.25">
      <c r="D387" s="138"/>
      <c r="E387" s="138"/>
      <c r="L387" s="138"/>
      <c r="O387" s="138"/>
      <c r="R387" s="138"/>
      <c r="U387" s="138"/>
      <c r="X387" s="138"/>
    </row>
    <row r="388" spans="4:24" ht="12.75" customHeight="1" x14ac:dyDescent="0.25">
      <c r="D388" s="138"/>
      <c r="E388" s="138"/>
      <c r="L388" s="138"/>
      <c r="O388" s="138"/>
      <c r="R388" s="138"/>
      <c r="U388" s="138"/>
      <c r="X388" s="138"/>
    </row>
    <row r="389" spans="4:24" ht="12.75" customHeight="1" x14ac:dyDescent="0.25">
      <c r="D389" s="138"/>
      <c r="E389" s="138"/>
      <c r="L389" s="138"/>
      <c r="O389" s="138"/>
      <c r="R389" s="138"/>
      <c r="U389" s="138"/>
      <c r="X389" s="138"/>
    </row>
    <row r="390" spans="4:24" ht="12.75" customHeight="1" x14ac:dyDescent="0.25">
      <c r="D390" s="138"/>
      <c r="E390" s="138"/>
      <c r="L390" s="138"/>
      <c r="O390" s="138"/>
      <c r="R390" s="138"/>
      <c r="U390" s="138"/>
      <c r="X390" s="138"/>
    </row>
    <row r="391" spans="4:24" ht="12.75" customHeight="1" x14ac:dyDescent="0.25">
      <c r="D391" s="138"/>
      <c r="E391" s="138"/>
      <c r="L391" s="138"/>
      <c r="O391" s="138"/>
      <c r="R391" s="138"/>
      <c r="U391" s="138"/>
      <c r="X391" s="138"/>
    </row>
    <row r="392" spans="4:24" ht="12.75" customHeight="1" x14ac:dyDescent="0.25">
      <c r="D392" s="138"/>
      <c r="E392" s="138"/>
      <c r="L392" s="138"/>
      <c r="O392" s="138"/>
      <c r="R392" s="138"/>
      <c r="U392" s="138"/>
      <c r="X392" s="138"/>
    </row>
    <row r="393" spans="4:24" ht="12.75" customHeight="1" x14ac:dyDescent="0.25">
      <c r="D393" s="138"/>
      <c r="E393" s="138"/>
      <c r="L393" s="138"/>
      <c r="O393" s="138"/>
      <c r="R393" s="138"/>
      <c r="U393" s="138"/>
      <c r="X393" s="138"/>
    </row>
    <row r="394" spans="4:24" ht="12.75" customHeight="1" x14ac:dyDescent="0.25">
      <c r="D394" s="138"/>
      <c r="E394" s="138"/>
      <c r="L394" s="138"/>
      <c r="O394" s="138"/>
      <c r="R394" s="138"/>
      <c r="U394" s="138"/>
      <c r="X394" s="138"/>
    </row>
    <row r="395" spans="4:24" ht="12.75" customHeight="1" x14ac:dyDescent="0.25">
      <c r="D395" s="138"/>
      <c r="E395" s="138"/>
      <c r="L395" s="138"/>
      <c r="O395" s="138"/>
      <c r="R395" s="138"/>
      <c r="U395" s="138"/>
      <c r="X395" s="138"/>
    </row>
    <row r="396" spans="4:24" ht="12.75" customHeight="1" x14ac:dyDescent="0.25">
      <c r="D396" s="138"/>
      <c r="E396" s="138"/>
      <c r="L396" s="138"/>
      <c r="O396" s="138"/>
      <c r="R396" s="138"/>
      <c r="U396" s="138"/>
      <c r="X396" s="138"/>
    </row>
    <row r="397" spans="4:24" ht="12.75" customHeight="1" x14ac:dyDescent="0.25">
      <c r="D397" s="138"/>
      <c r="E397" s="138"/>
      <c r="L397" s="138"/>
      <c r="O397" s="138"/>
      <c r="R397" s="138"/>
      <c r="U397" s="138"/>
      <c r="X397" s="138"/>
    </row>
    <row r="398" spans="4:24" ht="12.75" customHeight="1" x14ac:dyDescent="0.25">
      <c r="D398" s="138"/>
      <c r="E398" s="138"/>
      <c r="L398" s="138"/>
      <c r="O398" s="138"/>
      <c r="R398" s="138"/>
      <c r="U398" s="138"/>
      <c r="X398" s="138"/>
    </row>
    <row r="399" spans="4:24" ht="12.75" customHeight="1" x14ac:dyDescent="0.25">
      <c r="D399" s="138"/>
      <c r="E399" s="138"/>
      <c r="L399" s="138"/>
      <c r="O399" s="138"/>
      <c r="R399" s="138"/>
      <c r="U399" s="138"/>
      <c r="X399" s="138"/>
    </row>
    <row r="400" spans="4:24" ht="12.75" customHeight="1" x14ac:dyDescent="0.25">
      <c r="D400" s="138"/>
      <c r="E400" s="138"/>
      <c r="L400" s="138"/>
      <c r="O400" s="138"/>
      <c r="R400" s="138"/>
      <c r="U400" s="138"/>
      <c r="X400" s="138"/>
    </row>
    <row r="401" spans="4:24" ht="12.75" customHeight="1" x14ac:dyDescent="0.25">
      <c r="D401" s="138"/>
      <c r="E401" s="138"/>
      <c r="L401" s="138"/>
      <c r="O401" s="138"/>
      <c r="R401" s="138"/>
      <c r="U401" s="138"/>
      <c r="X401" s="138"/>
    </row>
    <row r="402" spans="4:24" ht="12.75" customHeight="1" x14ac:dyDescent="0.25">
      <c r="D402" s="138"/>
      <c r="E402" s="138"/>
      <c r="L402" s="138"/>
      <c r="O402" s="138"/>
      <c r="R402" s="138"/>
      <c r="U402" s="138"/>
      <c r="X402" s="138"/>
    </row>
    <row r="403" spans="4:24" ht="12.75" customHeight="1" x14ac:dyDescent="0.25">
      <c r="D403" s="138"/>
      <c r="E403" s="138"/>
      <c r="L403" s="138"/>
      <c r="O403" s="138"/>
      <c r="R403" s="138"/>
      <c r="U403" s="138"/>
      <c r="X403" s="138"/>
    </row>
    <row r="404" spans="4:24" ht="12.75" customHeight="1" x14ac:dyDescent="0.25">
      <c r="D404" s="138"/>
      <c r="E404" s="138"/>
      <c r="L404" s="138"/>
      <c r="O404" s="138"/>
      <c r="R404" s="138"/>
      <c r="U404" s="138"/>
      <c r="X404" s="138"/>
    </row>
    <row r="405" spans="4:24" ht="12.75" customHeight="1" x14ac:dyDescent="0.25">
      <c r="D405" s="138"/>
      <c r="E405" s="138"/>
      <c r="L405" s="138"/>
      <c r="O405" s="138"/>
      <c r="R405" s="138"/>
      <c r="U405" s="138"/>
      <c r="X405" s="138"/>
    </row>
    <row r="406" spans="4:24" ht="12.75" customHeight="1" x14ac:dyDescent="0.25">
      <c r="D406" s="138"/>
      <c r="E406" s="138"/>
      <c r="L406" s="138"/>
      <c r="O406" s="138"/>
      <c r="R406" s="138"/>
      <c r="U406" s="138"/>
      <c r="X406" s="138"/>
    </row>
    <row r="407" spans="4:24" ht="12.75" customHeight="1" x14ac:dyDescent="0.25">
      <c r="D407" s="138"/>
      <c r="E407" s="138"/>
      <c r="L407" s="138"/>
      <c r="O407" s="138"/>
      <c r="R407" s="138"/>
      <c r="U407" s="138"/>
      <c r="X407" s="138"/>
    </row>
    <row r="408" spans="4:24" ht="12.75" customHeight="1" x14ac:dyDescent="0.25">
      <c r="D408" s="138"/>
      <c r="E408" s="138"/>
      <c r="L408" s="138"/>
      <c r="O408" s="138"/>
      <c r="R408" s="138"/>
      <c r="U408" s="138"/>
      <c r="X408" s="138"/>
    </row>
    <row r="409" spans="4:24" ht="12.75" customHeight="1" x14ac:dyDescent="0.25">
      <c r="D409" s="138"/>
      <c r="E409" s="138"/>
      <c r="L409" s="138"/>
      <c r="O409" s="138"/>
      <c r="R409" s="138"/>
      <c r="U409" s="138"/>
      <c r="X409" s="138"/>
    </row>
    <row r="410" spans="4:24" ht="12.75" customHeight="1" x14ac:dyDescent="0.25">
      <c r="D410" s="138"/>
      <c r="E410" s="138"/>
      <c r="L410" s="138"/>
      <c r="O410" s="138"/>
      <c r="R410" s="138"/>
      <c r="U410" s="138"/>
      <c r="X410" s="138"/>
    </row>
    <row r="411" spans="4:24" ht="12.75" customHeight="1" x14ac:dyDescent="0.25">
      <c r="D411" s="138"/>
      <c r="E411" s="138"/>
      <c r="L411" s="138"/>
      <c r="O411" s="138"/>
      <c r="R411" s="138"/>
      <c r="U411" s="138"/>
      <c r="X411" s="138"/>
    </row>
    <row r="412" spans="4:24" ht="12.75" customHeight="1" x14ac:dyDescent="0.25">
      <c r="D412" s="138"/>
      <c r="E412" s="138"/>
      <c r="L412" s="138"/>
      <c r="O412" s="138"/>
      <c r="R412" s="138"/>
      <c r="U412" s="138"/>
      <c r="X412" s="138"/>
    </row>
    <row r="413" spans="4:24" ht="12.75" customHeight="1" x14ac:dyDescent="0.25">
      <c r="D413" s="138"/>
      <c r="E413" s="138"/>
      <c r="L413" s="138"/>
      <c r="O413" s="138"/>
      <c r="R413" s="138"/>
      <c r="U413" s="138"/>
      <c r="X413" s="138"/>
    </row>
    <row r="414" spans="4:24" ht="12.75" customHeight="1" x14ac:dyDescent="0.25">
      <c r="D414" s="138"/>
      <c r="E414" s="138"/>
      <c r="L414" s="138"/>
      <c r="O414" s="138"/>
      <c r="R414" s="138"/>
      <c r="U414" s="138"/>
      <c r="X414" s="138"/>
    </row>
    <row r="415" spans="4:24" ht="12.75" customHeight="1" x14ac:dyDescent="0.25">
      <c r="D415" s="138"/>
      <c r="E415" s="138"/>
      <c r="L415" s="138"/>
      <c r="O415" s="138"/>
      <c r="R415" s="138"/>
      <c r="U415" s="138"/>
      <c r="X415" s="138"/>
    </row>
    <row r="416" spans="4:24" ht="12.75" customHeight="1" x14ac:dyDescent="0.25">
      <c r="D416" s="138"/>
      <c r="E416" s="138"/>
      <c r="L416" s="138"/>
      <c r="O416" s="138"/>
      <c r="R416" s="138"/>
      <c r="U416" s="138"/>
      <c r="X416" s="138"/>
    </row>
    <row r="417" spans="4:24" ht="12.75" customHeight="1" x14ac:dyDescent="0.25">
      <c r="D417" s="138"/>
      <c r="E417" s="138"/>
      <c r="L417" s="138"/>
      <c r="O417" s="138"/>
      <c r="R417" s="138"/>
      <c r="U417" s="138"/>
      <c r="X417" s="138"/>
    </row>
    <row r="418" spans="4:24" ht="12.75" customHeight="1" x14ac:dyDescent="0.25">
      <c r="D418" s="138"/>
      <c r="E418" s="138"/>
      <c r="L418" s="138"/>
      <c r="O418" s="138"/>
      <c r="R418" s="138"/>
      <c r="U418" s="138"/>
      <c r="X418" s="138"/>
    </row>
    <row r="419" spans="4:24" ht="12.75" customHeight="1" x14ac:dyDescent="0.25">
      <c r="D419" s="138"/>
      <c r="E419" s="138"/>
      <c r="L419" s="138"/>
      <c r="O419" s="138"/>
      <c r="R419" s="138"/>
      <c r="U419" s="138"/>
      <c r="X419" s="138"/>
    </row>
    <row r="420" spans="4:24" ht="12.75" customHeight="1" x14ac:dyDescent="0.25">
      <c r="D420" s="138"/>
      <c r="E420" s="138"/>
      <c r="L420" s="138"/>
      <c r="O420" s="138"/>
      <c r="R420" s="138"/>
      <c r="U420" s="138"/>
      <c r="X420" s="138"/>
    </row>
    <row r="421" spans="4:24" ht="12.75" customHeight="1" x14ac:dyDescent="0.25">
      <c r="D421" s="138"/>
      <c r="E421" s="138"/>
      <c r="L421" s="138"/>
      <c r="O421" s="138"/>
      <c r="R421" s="138"/>
      <c r="U421" s="138"/>
      <c r="X421" s="138"/>
    </row>
    <row r="422" spans="4:24" ht="12.75" customHeight="1" x14ac:dyDescent="0.25">
      <c r="D422" s="138"/>
      <c r="E422" s="138"/>
      <c r="L422" s="138"/>
      <c r="O422" s="138"/>
      <c r="R422" s="138"/>
      <c r="U422" s="138"/>
      <c r="X422" s="138"/>
    </row>
    <row r="423" spans="4:24" ht="12.75" customHeight="1" x14ac:dyDescent="0.25">
      <c r="D423" s="138"/>
      <c r="E423" s="138"/>
      <c r="L423" s="138"/>
      <c r="O423" s="138"/>
      <c r="R423" s="138"/>
      <c r="U423" s="138"/>
      <c r="X423" s="138"/>
    </row>
    <row r="424" spans="4:24" ht="12.75" customHeight="1" x14ac:dyDescent="0.25">
      <c r="D424" s="138"/>
      <c r="E424" s="138"/>
      <c r="L424" s="138"/>
      <c r="O424" s="138"/>
      <c r="R424" s="138"/>
      <c r="U424" s="138"/>
      <c r="X424" s="138"/>
    </row>
    <row r="425" spans="4:24" ht="12.75" customHeight="1" x14ac:dyDescent="0.25">
      <c r="D425" s="138"/>
      <c r="E425" s="138"/>
      <c r="L425" s="138"/>
      <c r="O425" s="138"/>
      <c r="R425" s="138"/>
      <c r="U425" s="138"/>
      <c r="X425" s="138"/>
    </row>
    <row r="426" spans="4:24" ht="12.75" customHeight="1" x14ac:dyDescent="0.25">
      <c r="D426" s="138"/>
      <c r="E426" s="138"/>
      <c r="L426" s="138"/>
      <c r="O426" s="138"/>
      <c r="R426" s="138"/>
      <c r="U426" s="138"/>
      <c r="X426" s="138"/>
    </row>
    <row r="427" spans="4:24" ht="12.75" customHeight="1" x14ac:dyDescent="0.25">
      <c r="D427" s="138"/>
      <c r="E427" s="138"/>
      <c r="L427" s="138"/>
      <c r="O427" s="138"/>
      <c r="R427" s="138"/>
      <c r="U427" s="138"/>
      <c r="X427" s="138"/>
    </row>
    <row r="428" spans="4:24" ht="12.75" customHeight="1" x14ac:dyDescent="0.25">
      <c r="D428" s="138"/>
      <c r="E428" s="138"/>
      <c r="L428" s="138"/>
      <c r="O428" s="138"/>
      <c r="R428" s="138"/>
      <c r="U428" s="138"/>
      <c r="X428" s="138"/>
    </row>
    <row r="429" spans="4:24" ht="12.75" customHeight="1" x14ac:dyDescent="0.25">
      <c r="D429" s="138"/>
      <c r="E429" s="138"/>
      <c r="L429" s="138"/>
      <c r="O429" s="138"/>
      <c r="R429" s="138"/>
      <c r="U429" s="138"/>
      <c r="X429" s="138"/>
    </row>
    <row r="430" spans="4:24" ht="12.75" customHeight="1" x14ac:dyDescent="0.25">
      <c r="D430" s="138"/>
      <c r="E430" s="138"/>
      <c r="L430" s="138"/>
      <c r="O430" s="138"/>
      <c r="R430" s="138"/>
      <c r="U430" s="138"/>
      <c r="X430" s="138"/>
    </row>
    <row r="431" spans="4:24" ht="12.75" customHeight="1" x14ac:dyDescent="0.25">
      <c r="D431" s="138"/>
      <c r="E431" s="138"/>
      <c r="L431" s="138"/>
      <c r="O431" s="138"/>
      <c r="R431" s="138"/>
      <c r="U431" s="138"/>
      <c r="X431" s="138"/>
    </row>
    <row r="432" spans="4:24" ht="12.75" customHeight="1" x14ac:dyDescent="0.25">
      <c r="D432" s="138"/>
      <c r="E432" s="138"/>
      <c r="L432" s="138"/>
      <c r="O432" s="138"/>
      <c r="R432" s="138"/>
      <c r="U432" s="138"/>
      <c r="X432" s="138"/>
    </row>
    <row r="433" spans="4:24" ht="12.75" customHeight="1" x14ac:dyDescent="0.25">
      <c r="D433" s="138"/>
      <c r="E433" s="138"/>
      <c r="L433" s="138"/>
      <c r="O433" s="138"/>
      <c r="R433" s="138"/>
      <c r="U433" s="138"/>
      <c r="X433" s="138"/>
    </row>
    <row r="434" spans="4:24" ht="12.75" customHeight="1" x14ac:dyDescent="0.25">
      <c r="D434" s="138"/>
      <c r="E434" s="138"/>
      <c r="L434" s="138"/>
      <c r="O434" s="138"/>
      <c r="R434" s="138"/>
      <c r="U434" s="138"/>
      <c r="X434" s="138"/>
    </row>
    <row r="435" spans="4:24" ht="12.75" customHeight="1" x14ac:dyDescent="0.25">
      <c r="D435" s="138"/>
      <c r="E435" s="138"/>
      <c r="L435" s="138"/>
      <c r="O435" s="138"/>
      <c r="R435" s="138"/>
      <c r="U435" s="138"/>
      <c r="X435" s="138"/>
    </row>
    <row r="436" spans="4:24" ht="12.75" customHeight="1" x14ac:dyDescent="0.25">
      <c r="D436" s="138"/>
      <c r="E436" s="138"/>
      <c r="L436" s="138"/>
      <c r="O436" s="138"/>
      <c r="R436" s="138"/>
      <c r="U436" s="138"/>
      <c r="X436" s="138"/>
    </row>
    <row r="437" spans="4:24" ht="12.75" customHeight="1" x14ac:dyDescent="0.25">
      <c r="D437" s="138"/>
      <c r="E437" s="138"/>
      <c r="L437" s="138"/>
      <c r="O437" s="138"/>
      <c r="R437" s="138"/>
      <c r="U437" s="138"/>
      <c r="X437" s="138"/>
    </row>
    <row r="438" spans="4:24" ht="12.75" customHeight="1" x14ac:dyDescent="0.25">
      <c r="D438" s="138"/>
      <c r="E438" s="138"/>
      <c r="L438" s="138"/>
      <c r="O438" s="138"/>
      <c r="R438" s="138"/>
      <c r="U438" s="138"/>
      <c r="X438" s="138"/>
    </row>
    <row r="439" spans="4:24" ht="12.75" customHeight="1" x14ac:dyDescent="0.25">
      <c r="D439" s="138"/>
      <c r="E439" s="138"/>
      <c r="L439" s="138"/>
      <c r="O439" s="138"/>
      <c r="R439" s="138"/>
      <c r="U439" s="138"/>
      <c r="X439" s="138"/>
    </row>
    <row r="440" spans="4:24" ht="12.75" customHeight="1" x14ac:dyDescent="0.25">
      <c r="D440" s="138"/>
      <c r="E440" s="138"/>
      <c r="L440" s="138"/>
      <c r="O440" s="138"/>
      <c r="R440" s="138"/>
      <c r="U440" s="138"/>
      <c r="X440" s="138"/>
    </row>
    <row r="441" spans="4:24" ht="12.75" customHeight="1" x14ac:dyDescent="0.25">
      <c r="D441" s="138"/>
      <c r="E441" s="138"/>
      <c r="L441" s="138"/>
      <c r="O441" s="138"/>
      <c r="R441" s="138"/>
      <c r="U441" s="138"/>
      <c r="X441" s="138"/>
    </row>
    <row r="442" spans="4:24" ht="12.75" customHeight="1" x14ac:dyDescent="0.25">
      <c r="D442" s="138"/>
      <c r="E442" s="138"/>
      <c r="L442" s="138"/>
      <c r="O442" s="138"/>
      <c r="R442" s="138"/>
      <c r="U442" s="138"/>
      <c r="X442" s="138"/>
    </row>
    <row r="443" spans="4:24" ht="12.75" customHeight="1" x14ac:dyDescent="0.25">
      <c r="D443" s="138"/>
      <c r="E443" s="138"/>
      <c r="L443" s="138"/>
      <c r="O443" s="138"/>
      <c r="R443" s="138"/>
      <c r="U443" s="138"/>
      <c r="X443" s="138"/>
    </row>
    <row r="444" spans="4:24" ht="12.75" customHeight="1" x14ac:dyDescent="0.25">
      <c r="D444" s="138"/>
      <c r="E444" s="138"/>
      <c r="L444" s="138"/>
      <c r="O444" s="138"/>
      <c r="R444" s="138"/>
      <c r="U444" s="138"/>
      <c r="X444" s="138"/>
    </row>
    <row r="445" spans="4:24" ht="12.75" customHeight="1" x14ac:dyDescent="0.25">
      <c r="D445" s="138"/>
      <c r="E445" s="138"/>
      <c r="L445" s="138"/>
      <c r="O445" s="138"/>
      <c r="R445" s="138"/>
      <c r="U445" s="138"/>
      <c r="X445" s="138"/>
    </row>
    <row r="446" spans="4:24" ht="12.75" customHeight="1" x14ac:dyDescent="0.25">
      <c r="D446" s="138"/>
      <c r="E446" s="138"/>
      <c r="L446" s="138"/>
      <c r="O446" s="138"/>
      <c r="R446" s="138"/>
      <c r="U446" s="138"/>
      <c r="X446" s="138"/>
    </row>
    <row r="447" spans="4:24" ht="12.75" customHeight="1" x14ac:dyDescent="0.25">
      <c r="D447" s="138"/>
      <c r="E447" s="138"/>
      <c r="L447" s="138"/>
      <c r="O447" s="138"/>
      <c r="R447" s="138"/>
      <c r="U447" s="138"/>
      <c r="X447" s="138"/>
    </row>
    <row r="448" spans="4:24" ht="12.75" customHeight="1" x14ac:dyDescent="0.25">
      <c r="D448" s="138"/>
      <c r="E448" s="138"/>
      <c r="L448" s="138"/>
      <c r="O448" s="138"/>
      <c r="R448" s="138"/>
      <c r="U448" s="138"/>
      <c r="X448" s="138"/>
    </row>
    <row r="449" spans="4:24" ht="12.75" customHeight="1" x14ac:dyDescent="0.25">
      <c r="D449" s="138"/>
      <c r="E449" s="138"/>
      <c r="L449" s="138"/>
      <c r="O449" s="138"/>
      <c r="R449" s="138"/>
      <c r="U449" s="138"/>
      <c r="X449" s="138"/>
    </row>
    <row r="450" spans="4:24" ht="12.75" customHeight="1" x14ac:dyDescent="0.25">
      <c r="D450" s="138"/>
      <c r="E450" s="138"/>
      <c r="L450" s="138"/>
      <c r="O450" s="138"/>
      <c r="R450" s="138"/>
      <c r="U450" s="138"/>
      <c r="X450" s="138"/>
    </row>
    <row r="451" spans="4:24" ht="12.75" customHeight="1" x14ac:dyDescent="0.25">
      <c r="D451" s="138"/>
      <c r="E451" s="138"/>
      <c r="L451" s="138"/>
      <c r="O451" s="138"/>
      <c r="R451" s="138"/>
      <c r="U451" s="138"/>
      <c r="X451" s="138"/>
    </row>
    <row r="452" spans="4:24" ht="12.75" customHeight="1" x14ac:dyDescent="0.25">
      <c r="D452" s="138"/>
      <c r="E452" s="138"/>
      <c r="L452" s="138"/>
      <c r="O452" s="138"/>
      <c r="R452" s="138"/>
      <c r="U452" s="138"/>
      <c r="X452" s="138"/>
    </row>
    <row r="453" spans="4:24" ht="12.75" customHeight="1" x14ac:dyDescent="0.25">
      <c r="D453" s="138"/>
      <c r="E453" s="138"/>
      <c r="L453" s="138"/>
      <c r="O453" s="138"/>
      <c r="R453" s="138"/>
      <c r="U453" s="138"/>
      <c r="X453" s="138"/>
    </row>
    <row r="454" spans="4:24" ht="12.75" customHeight="1" x14ac:dyDescent="0.25">
      <c r="D454" s="138"/>
      <c r="E454" s="138"/>
      <c r="L454" s="138"/>
      <c r="O454" s="138"/>
      <c r="R454" s="138"/>
      <c r="U454" s="138"/>
      <c r="X454" s="138"/>
    </row>
    <row r="455" spans="4:24" ht="12.75" customHeight="1" x14ac:dyDescent="0.25">
      <c r="D455" s="138"/>
      <c r="E455" s="138"/>
      <c r="L455" s="138"/>
      <c r="O455" s="138"/>
      <c r="R455" s="138"/>
      <c r="U455" s="138"/>
      <c r="X455" s="138"/>
    </row>
    <row r="456" spans="4:24" ht="12.75" customHeight="1" x14ac:dyDescent="0.25">
      <c r="D456" s="138"/>
      <c r="E456" s="138"/>
      <c r="L456" s="138"/>
      <c r="O456" s="138"/>
      <c r="R456" s="138"/>
      <c r="U456" s="138"/>
      <c r="X456" s="138"/>
    </row>
    <row r="457" spans="4:24" ht="12.75" customHeight="1" x14ac:dyDescent="0.25">
      <c r="D457" s="138"/>
      <c r="E457" s="138"/>
      <c r="L457" s="138"/>
      <c r="O457" s="138"/>
      <c r="R457" s="138"/>
      <c r="U457" s="138"/>
      <c r="X457" s="138"/>
    </row>
    <row r="458" spans="4:24" ht="12.75" customHeight="1" x14ac:dyDescent="0.25">
      <c r="D458" s="138"/>
      <c r="E458" s="138"/>
      <c r="L458" s="138"/>
      <c r="O458" s="138"/>
      <c r="R458" s="138"/>
      <c r="U458" s="138"/>
      <c r="X458" s="138"/>
    </row>
    <row r="459" spans="4:24" ht="12.75" customHeight="1" x14ac:dyDescent="0.25">
      <c r="D459" s="138"/>
      <c r="E459" s="138"/>
      <c r="L459" s="138"/>
      <c r="O459" s="138"/>
      <c r="R459" s="138"/>
      <c r="U459" s="138"/>
      <c r="X459" s="138"/>
    </row>
    <row r="460" spans="4:24" ht="12.75" customHeight="1" x14ac:dyDescent="0.25">
      <c r="D460" s="138"/>
      <c r="E460" s="138"/>
      <c r="L460" s="138"/>
      <c r="O460" s="138"/>
      <c r="R460" s="138"/>
      <c r="U460" s="138"/>
      <c r="X460" s="138"/>
    </row>
    <row r="461" spans="4:24" ht="12.75" customHeight="1" x14ac:dyDescent="0.25">
      <c r="D461" s="138"/>
      <c r="E461" s="138"/>
      <c r="L461" s="138"/>
      <c r="O461" s="138"/>
      <c r="R461" s="138"/>
      <c r="U461" s="138"/>
      <c r="X461" s="138"/>
    </row>
    <row r="462" spans="4:24" ht="12.75" customHeight="1" x14ac:dyDescent="0.25">
      <c r="D462" s="138"/>
      <c r="E462" s="138"/>
      <c r="L462" s="138"/>
      <c r="O462" s="138"/>
      <c r="R462" s="138"/>
      <c r="U462" s="138"/>
      <c r="X462" s="138"/>
    </row>
    <row r="463" spans="4:24" ht="12.75" customHeight="1" x14ac:dyDescent="0.25">
      <c r="D463" s="138"/>
      <c r="E463" s="138"/>
      <c r="L463" s="138"/>
      <c r="O463" s="138"/>
      <c r="R463" s="138"/>
      <c r="U463" s="138"/>
      <c r="X463" s="138"/>
    </row>
    <row r="464" spans="4:24" ht="12.75" customHeight="1" x14ac:dyDescent="0.25">
      <c r="D464" s="138"/>
      <c r="E464" s="138"/>
      <c r="L464" s="138"/>
      <c r="O464" s="138"/>
      <c r="R464" s="138"/>
      <c r="U464" s="138"/>
      <c r="X464" s="138"/>
    </row>
    <row r="465" spans="4:24" ht="12.75" customHeight="1" x14ac:dyDescent="0.25">
      <c r="D465" s="138"/>
      <c r="E465" s="138"/>
      <c r="L465" s="138"/>
      <c r="O465" s="138"/>
      <c r="R465" s="138"/>
      <c r="U465" s="138"/>
      <c r="X465" s="138"/>
    </row>
    <row r="466" spans="4:24" ht="12.75" customHeight="1" x14ac:dyDescent="0.25">
      <c r="D466" s="138"/>
      <c r="E466" s="138"/>
      <c r="L466" s="138"/>
      <c r="O466" s="138"/>
      <c r="R466" s="138"/>
      <c r="U466" s="138"/>
      <c r="X466" s="138"/>
    </row>
    <row r="467" spans="4:24" ht="12.75" customHeight="1" x14ac:dyDescent="0.25">
      <c r="D467" s="138"/>
      <c r="E467" s="138"/>
      <c r="L467" s="138"/>
      <c r="O467" s="138"/>
      <c r="R467" s="138"/>
      <c r="U467" s="138"/>
      <c r="X467" s="138"/>
    </row>
    <row r="468" spans="4:24" ht="12.75" customHeight="1" x14ac:dyDescent="0.25">
      <c r="D468" s="138"/>
      <c r="E468" s="138"/>
      <c r="L468" s="138"/>
      <c r="O468" s="138"/>
      <c r="R468" s="138"/>
      <c r="U468" s="138"/>
      <c r="X468" s="138"/>
    </row>
    <row r="469" spans="4:24" ht="12.75" customHeight="1" x14ac:dyDescent="0.25">
      <c r="D469" s="138"/>
      <c r="E469" s="138"/>
      <c r="L469" s="138"/>
      <c r="O469" s="138"/>
      <c r="R469" s="138"/>
      <c r="U469" s="138"/>
      <c r="X469" s="138"/>
    </row>
    <row r="470" spans="4:24" ht="12.75" customHeight="1" x14ac:dyDescent="0.25">
      <c r="D470" s="138"/>
      <c r="E470" s="138"/>
      <c r="L470" s="138"/>
      <c r="O470" s="138"/>
      <c r="R470" s="138"/>
      <c r="U470" s="138"/>
      <c r="X470" s="138"/>
    </row>
    <row r="471" spans="4:24" ht="12.75" customHeight="1" x14ac:dyDescent="0.25">
      <c r="D471" s="138"/>
      <c r="E471" s="138"/>
      <c r="L471" s="138"/>
      <c r="O471" s="138"/>
      <c r="R471" s="138"/>
      <c r="U471" s="138"/>
      <c r="X471" s="138"/>
    </row>
    <row r="472" spans="4:24" ht="12.75" customHeight="1" x14ac:dyDescent="0.25">
      <c r="D472" s="138"/>
      <c r="E472" s="138"/>
      <c r="L472" s="138"/>
      <c r="O472" s="138"/>
      <c r="R472" s="138"/>
      <c r="U472" s="138"/>
      <c r="X472" s="138"/>
    </row>
    <row r="473" spans="4:24" ht="12.75" customHeight="1" x14ac:dyDescent="0.25">
      <c r="D473" s="138"/>
      <c r="E473" s="138"/>
      <c r="L473" s="138"/>
      <c r="O473" s="138"/>
      <c r="R473" s="138"/>
      <c r="U473" s="138"/>
      <c r="X473" s="138"/>
    </row>
    <row r="474" spans="4:24" ht="12.75" customHeight="1" x14ac:dyDescent="0.25">
      <c r="D474" s="138"/>
      <c r="E474" s="138"/>
      <c r="L474" s="138"/>
      <c r="O474" s="138"/>
      <c r="R474" s="138"/>
      <c r="U474" s="138"/>
      <c r="X474" s="138"/>
    </row>
    <row r="475" spans="4:24" ht="12.75" customHeight="1" x14ac:dyDescent="0.25">
      <c r="D475" s="138"/>
      <c r="E475" s="138"/>
      <c r="L475" s="138"/>
      <c r="O475" s="138"/>
      <c r="R475" s="138"/>
      <c r="U475" s="138"/>
      <c r="X475" s="138"/>
    </row>
    <row r="476" spans="4:24" ht="12.75" customHeight="1" x14ac:dyDescent="0.25">
      <c r="D476" s="138"/>
      <c r="E476" s="138"/>
      <c r="L476" s="138"/>
      <c r="O476" s="138"/>
      <c r="R476" s="138"/>
      <c r="U476" s="138"/>
      <c r="X476" s="138"/>
    </row>
    <row r="477" spans="4:24" ht="12.75" customHeight="1" x14ac:dyDescent="0.25">
      <c r="D477" s="138"/>
      <c r="E477" s="138"/>
      <c r="L477" s="138"/>
      <c r="O477" s="138"/>
      <c r="R477" s="138"/>
      <c r="U477" s="138"/>
      <c r="X477" s="138"/>
    </row>
    <row r="478" spans="4:24" ht="12.75" customHeight="1" x14ac:dyDescent="0.25">
      <c r="D478" s="138"/>
      <c r="E478" s="138"/>
      <c r="L478" s="138"/>
      <c r="O478" s="138"/>
      <c r="R478" s="138"/>
      <c r="U478" s="138"/>
      <c r="X478" s="138"/>
    </row>
    <row r="479" spans="4:24" ht="12.75" customHeight="1" x14ac:dyDescent="0.25">
      <c r="D479" s="138"/>
      <c r="E479" s="138"/>
      <c r="L479" s="138"/>
      <c r="O479" s="138"/>
      <c r="R479" s="138"/>
      <c r="U479" s="138"/>
      <c r="X479" s="138"/>
    </row>
    <row r="480" spans="4:24" ht="12.75" customHeight="1" x14ac:dyDescent="0.25">
      <c r="D480" s="138"/>
      <c r="E480" s="138"/>
      <c r="L480" s="138"/>
      <c r="O480" s="138"/>
      <c r="R480" s="138"/>
      <c r="U480" s="138"/>
      <c r="X480" s="138"/>
    </row>
    <row r="481" spans="4:24" ht="12.75" customHeight="1" x14ac:dyDescent="0.25">
      <c r="D481" s="138"/>
      <c r="E481" s="138"/>
      <c r="L481" s="138"/>
      <c r="O481" s="138"/>
      <c r="R481" s="138"/>
      <c r="U481" s="138"/>
      <c r="X481" s="138"/>
    </row>
    <row r="482" spans="4:24" ht="12.75" customHeight="1" x14ac:dyDescent="0.25">
      <c r="D482" s="138"/>
      <c r="E482" s="138"/>
      <c r="L482" s="138"/>
      <c r="O482" s="138"/>
      <c r="R482" s="138"/>
      <c r="U482" s="138"/>
      <c r="X482" s="138"/>
    </row>
    <row r="483" spans="4:24" ht="12.75" customHeight="1" x14ac:dyDescent="0.25">
      <c r="D483" s="138"/>
      <c r="E483" s="138"/>
      <c r="L483" s="138"/>
      <c r="O483" s="138"/>
      <c r="R483" s="138"/>
      <c r="U483" s="138"/>
      <c r="X483" s="138"/>
    </row>
    <row r="484" spans="4:24" ht="12.75" customHeight="1" x14ac:dyDescent="0.25">
      <c r="D484" s="138"/>
      <c r="E484" s="138"/>
      <c r="L484" s="138"/>
      <c r="O484" s="138"/>
      <c r="R484" s="138"/>
      <c r="U484" s="138"/>
      <c r="X484" s="138"/>
    </row>
    <row r="485" spans="4:24" ht="12.75" customHeight="1" x14ac:dyDescent="0.25">
      <c r="D485" s="138"/>
      <c r="E485" s="138"/>
      <c r="L485" s="138"/>
      <c r="O485" s="138"/>
      <c r="R485" s="138"/>
      <c r="U485" s="138"/>
      <c r="X485" s="138"/>
    </row>
    <row r="486" spans="4:24" ht="12.75" customHeight="1" x14ac:dyDescent="0.25">
      <c r="D486" s="138"/>
      <c r="E486" s="138"/>
      <c r="L486" s="138"/>
      <c r="O486" s="138"/>
      <c r="R486" s="138"/>
      <c r="U486" s="138"/>
      <c r="X486" s="138"/>
    </row>
    <row r="487" spans="4:24" ht="12.75" customHeight="1" x14ac:dyDescent="0.25">
      <c r="D487" s="138"/>
      <c r="E487" s="138"/>
      <c r="L487" s="138"/>
      <c r="O487" s="138"/>
      <c r="R487" s="138"/>
      <c r="U487" s="138"/>
      <c r="X487" s="138"/>
    </row>
    <row r="488" spans="4:24" ht="12.75" customHeight="1" x14ac:dyDescent="0.25">
      <c r="D488" s="138"/>
      <c r="E488" s="138"/>
      <c r="L488" s="138"/>
      <c r="O488" s="138"/>
      <c r="R488" s="138"/>
      <c r="U488" s="138"/>
      <c r="X488" s="138"/>
    </row>
    <row r="489" spans="4:24" ht="12.75" customHeight="1" x14ac:dyDescent="0.25">
      <c r="D489" s="138"/>
      <c r="E489" s="138"/>
      <c r="L489" s="138"/>
      <c r="O489" s="138"/>
      <c r="R489" s="138"/>
      <c r="U489" s="138"/>
      <c r="X489" s="138"/>
    </row>
    <row r="490" spans="4:24" ht="12.75" customHeight="1" x14ac:dyDescent="0.25">
      <c r="D490" s="138"/>
      <c r="E490" s="138"/>
      <c r="L490" s="138"/>
      <c r="O490" s="138"/>
      <c r="R490" s="138"/>
      <c r="U490" s="138"/>
      <c r="X490" s="138"/>
    </row>
    <row r="491" spans="4:24" ht="12.75" customHeight="1" x14ac:dyDescent="0.25">
      <c r="D491" s="138"/>
      <c r="E491" s="138"/>
      <c r="L491" s="138"/>
      <c r="O491" s="138"/>
      <c r="R491" s="138"/>
      <c r="U491" s="138"/>
      <c r="X491" s="138"/>
    </row>
    <row r="492" spans="4:24" ht="12.75" customHeight="1" x14ac:dyDescent="0.25">
      <c r="D492" s="138"/>
      <c r="E492" s="138"/>
      <c r="L492" s="138"/>
      <c r="O492" s="138"/>
      <c r="R492" s="138"/>
      <c r="U492" s="138"/>
      <c r="X492" s="138"/>
    </row>
    <row r="493" spans="4:24" ht="12.75" customHeight="1" x14ac:dyDescent="0.25">
      <c r="D493" s="138"/>
      <c r="E493" s="138"/>
      <c r="L493" s="138"/>
      <c r="O493" s="138"/>
      <c r="R493" s="138"/>
      <c r="U493" s="138"/>
      <c r="X493" s="138"/>
    </row>
    <row r="494" spans="4:24" ht="12.75" customHeight="1" x14ac:dyDescent="0.25">
      <c r="D494" s="138"/>
      <c r="E494" s="138"/>
      <c r="L494" s="138"/>
      <c r="O494" s="138"/>
      <c r="R494" s="138"/>
      <c r="U494" s="138"/>
      <c r="X494" s="138"/>
    </row>
    <row r="495" spans="4:24" ht="12.75" customHeight="1" x14ac:dyDescent="0.25">
      <c r="D495" s="138"/>
      <c r="E495" s="138"/>
      <c r="L495" s="138"/>
      <c r="O495" s="138"/>
      <c r="R495" s="138"/>
      <c r="U495" s="138"/>
      <c r="X495" s="138"/>
    </row>
    <row r="496" spans="4:24" ht="12.75" customHeight="1" x14ac:dyDescent="0.25">
      <c r="D496" s="138"/>
      <c r="E496" s="138"/>
      <c r="L496" s="138"/>
      <c r="O496" s="138"/>
      <c r="R496" s="138"/>
      <c r="U496" s="138"/>
      <c r="X496" s="138"/>
    </row>
    <row r="497" spans="4:24" ht="12.75" customHeight="1" x14ac:dyDescent="0.25">
      <c r="D497" s="138"/>
      <c r="E497" s="138"/>
      <c r="L497" s="138"/>
      <c r="O497" s="138"/>
      <c r="R497" s="138"/>
      <c r="U497" s="138"/>
      <c r="X497" s="138"/>
    </row>
    <row r="498" spans="4:24" ht="12.75" customHeight="1" x14ac:dyDescent="0.25">
      <c r="D498" s="138"/>
      <c r="E498" s="138"/>
      <c r="L498" s="138"/>
      <c r="O498" s="138"/>
      <c r="R498" s="138"/>
      <c r="U498" s="138"/>
      <c r="X498" s="138"/>
    </row>
    <row r="499" spans="4:24" ht="12.75" customHeight="1" x14ac:dyDescent="0.25">
      <c r="D499" s="138"/>
      <c r="E499" s="138"/>
      <c r="L499" s="138"/>
      <c r="O499" s="138"/>
      <c r="R499" s="138"/>
      <c r="U499" s="138"/>
      <c r="X499" s="138"/>
    </row>
    <row r="500" spans="4:24" ht="12.75" customHeight="1" x14ac:dyDescent="0.25">
      <c r="D500" s="138"/>
      <c r="E500" s="138"/>
      <c r="L500" s="138"/>
      <c r="O500" s="138"/>
      <c r="R500" s="138"/>
      <c r="U500" s="138"/>
      <c r="X500" s="138"/>
    </row>
    <row r="501" spans="4:24" ht="12.75" customHeight="1" x14ac:dyDescent="0.25">
      <c r="D501" s="138"/>
      <c r="E501" s="138"/>
      <c r="L501" s="138"/>
      <c r="O501" s="138"/>
      <c r="R501" s="138"/>
      <c r="U501" s="138"/>
      <c r="X501" s="138"/>
    </row>
    <row r="502" spans="4:24" ht="12.75" customHeight="1" x14ac:dyDescent="0.25">
      <c r="D502" s="138"/>
      <c r="E502" s="138"/>
      <c r="L502" s="138"/>
      <c r="O502" s="138"/>
      <c r="R502" s="138"/>
      <c r="U502" s="138"/>
      <c r="X502" s="138"/>
    </row>
    <row r="503" spans="4:24" ht="12.75" customHeight="1" x14ac:dyDescent="0.25">
      <c r="D503" s="138"/>
      <c r="E503" s="138"/>
      <c r="L503" s="138"/>
      <c r="O503" s="138"/>
      <c r="R503" s="138"/>
      <c r="U503" s="138"/>
      <c r="X503" s="138"/>
    </row>
    <row r="504" spans="4:24" ht="12.75" customHeight="1" x14ac:dyDescent="0.25">
      <c r="D504" s="138"/>
      <c r="E504" s="138"/>
      <c r="L504" s="138"/>
      <c r="O504" s="138"/>
      <c r="R504" s="138"/>
      <c r="U504" s="138"/>
      <c r="X504" s="138"/>
    </row>
    <row r="505" spans="4:24" ht="12.75" customHeight="1" x14ac:dyDescent="0.25">
      <c r="D505" s="138"/>
      <c r="E505" s="138"/>
      <c r="L505" s="138"/>
      <c r="O505" s="138"/>
      <c r="R505" s="138"/>
      <c r="U505" s="138"/>
      <c r="X505" s="138"/>
    </row>
    <row r="506" spans="4:24" ht="12.75" customHeight="1" x14ac:dyDescent="0.25">
      <c r="D506" s="138"/>
      <c r="E506" s="138"/>
      <c r="L506" s="138"/>
      <c r="O506" s="138"/>
      <c r="R506" s="138"/>
      <c r="U506" s="138"/>
      <c r="X506" s="138"/>
    </row>
    <row r="507" spans="4:24" ht="12.75" customHeight="1" x14ac:dyDescent="0.25">
      <c r="D507" s="138"/>
      <c r="E507" s="138"/>
      <c r="L507" s="138"/>
      <c r="O507" s="138"/>
      <c r="R507" s="138"/>
      <c r="U507" s="138"/>
      <c r="X507" s="138"/>
    </row>
    <row r="508" spans="4:24" ht="12.75" customHeight="1" x14ac:dyDescent="0.25">
      <c r="D508" s="138"/>
      <c r="E508" s="138"/>
      <c r="L508" s="138"/>
      <c r="O508" s="138"/>
      <c r="R508" s="138"/>
      <c r="U508" s="138"/>
      <c r="X508" s="138"/>
    </row>
    <row r="509" spans="4:24" ht="12.75" customHeight="1" x14ac:dyDescent="0.25">
      <c r="D509" s="138"/>
      <c r="E509" s="138"/>
      <c r="L509" s="138"/>
      <c r="O509" s="138"/>
      <c r="R509" s="138"/>
      <c r="U509" s="138"/>
      <c r="X509" s="138"/>
    </row>
    <row r="510" spans="4:24" ht="12.75" customHeight="1" x14ac:dyDescent="0.25">
      <c r="D510" s="138"/>
      <c r="E510" s="138"/>
      <c r="L510" s="138"/>
      <c r="O510" s="138"/>
      <c r="R510" s="138"/>
      <c r="U510" s="138"/>
      <c r="X510" s="138"/>
    </row>
    <row r="511" spans="4:24" ht="12.75" customHeight="1" x14ac:dyDescent="0.25">
      <c r="D511" s="138"/>
      <c r="E511" s="138"/>
      <c r="L511" s="138"/>
      <c r="O511" s="138"/>
      <c r="R511" s="138"/>
      <c r="U511" s="138"/>
      <c r="X511" s="138"/>
    </row>
    <row r="512" spans="4:24" ht="12.75" customHeight="1" x14ac:dyDescent="0.25">
      <c r="D512" s="138"/>
      <c r="E512" s="138"/>
      <c r="L512" s="138"/>
      <c r="O512" s="138"/>
      <c r="R512" s="138"/>
      <c r="U512" s="138"/>
      <c r="X512" s="138"/>
    </row>
    <row r="513" spans="4:24" ht="12.75" customHeight="1" x14ac:dyDescent="0.25">
      <c r="D513" s="138"/>
      <c r="E513" s="138"/>
      <c r="L513" s="138"/>
      <c r="O513" s="138"/>
      <c r="R513" s="138"/>
      <c r="U513" s="138"/>
      <c r="X513" s="138"/>
    </row>
    <row r="514" spans="4:24" ht="12.75" customHeight="1" x14ac:dyDescent="0.25">
      <c r="D514" s="138"/>
      <c r="E514" s="138"/>
      <c r="L514" s="138"/>
      <c r="O514" s="138"/>
      <c r="R514" s="138"/>
      <c r="U514" s="138"/>
      <c r="X514" s="138"/>
    </row>
    <row r="515" spans="4:24" ht="12.75" customHeight="1" x14ac:dyDescent="0.25">
      <c r="D515" s="138"/>
      <c r="E515" s="138"/>
      <c r="L515" s="138"/>
      <c r="O515" s="138"/>
      <c r="R515" s="138"/>
      <c r="U515" s="138"/>
      <c r="X515" s="138"/>
    </row>
    <row r="516" spans="4:24" ht="12.75" customHeight="1" x14ac:dyDescent="0.25">
      <c r="D516" s="138"/>
      <c r="E516" s="138"/>
      <c r="L516" s="138"/>
      <c r="O516" s="138"/>
      <c r="R516" s="138"/>
      <c r="U516" s="138"/>
      <c r="X516" s="138"/>
    </row>
    <row r="517" spans="4:24" ht="12.75" customHeight="1" x14ac:dyDescent="0.25">
      <c r="D517" s="138"/>
      <c r="E517" s="138"/>
      <c r="L517" s="138"/>
      <c r="O517" s="138"/>
      <c r="R517" s="138"/>
      <c r="U517" s="138"/>
      <c r="X517" s="138"/>
    </row>
    <row r="518" spans="4:24" ht="12.75" customHeight="1" x14ac:dyDescent="0.25">
      <c r="D518" s="138"/>
      <c r="E518" s="138"/>
      <c r="L518" s="138"/>
      <c r="O518" s="138"/>
      <c r="R518" s="138"/>
      <c r="U518" s="138"/>
      <c r="X518" s="138"/>
    </row>
    <row r="519" spans="4:24" ht="12.75" customHeight="1" x14ac:dyDescent="0.25">
      <c r="D519" s="138"/>
      <c r="E519" s="138"/>
      <c r="L519" s="138"/>
      <c r="O519" s="138"/>
      <c r="R519" s="138"/>
      <c r="U519" s="138"/>
      <c r="X519" s="138"/>
    </row>
    <row r="520" spans="4:24" ht="12.75" customHeight="1" x14ac:dyDescent="0.25">
      <c r="D520" s="138"/>
      <c r="E520" s="138"/>
      <c r="L520" s="138"/>
      <c r="O520" s="138"/>
      <c r="R520" s="138"/>
      <c r="U520" s="138"/>
      <c r="X520" s="138"/>
    </row>
    <row r="521" spans="4:24" ht="12.75" customHeight="1" x14ac:dyDescent="0.25">
      <c r="D521" s="138"/>
      <c r="E521" s="138"/>
      <c r="L521" s="138"/>
      <c r="O521" s="138"/>
      <c r="R521" s="138"/>
      <c r="U521" s="138"/>
      <c r="X521" s="138"/>
    </row>
    <row r="522" spans="4:24" ht="12.75" customHeight="1" x14ac:dyDescent="0.25">
      <c r="D522" s="138"/>
      <c r="E522" s="138"/>
      <c r="L522" s="138"/>
      <c r="O522" s="138"/>
      <c r="R522" s="138"/>
      <c r="U522" s="138"/>
      <c r="X522" s="138"/>
    </row>
    <row r="523" spans="4:24" ht="12.75" customHeight="1" x14ac:dyDescent="0.25">
      <c r="D523" s="138"/>
      <c r="E523" s="138"/>
      <c r="L523" s="138"/>
      <c r="O523" s="138"/>
      <c r="R523" s="138"/>
      <c r="U523" s="138"/>
      <c r="X523" s="138"/>
    </row>
    <row r="524" spans="4:24" ht="12.75" customHeight="1" x14ac:dyDescent="0.25">
      <c r="D524" s="138"/>
      <c r="E524" s="138"/>
      <c r="L524" s="138"/>
      <c r="O524" s="138"/>
      <c r="R524" s="138"/>
      <c r="U524" s="138"/>
      <c r="X524" s="138"/>
    </row>
    <row r="525" spans="4:24" ht="12.75" customHeight="1" x14ac:dyDescent="0.25">
      <c r="D525" s="138"/>
      <c r="E525" s="138"/>
      <c r="L525" s="138"/>
      <c r="O525" s="138"/>
      <c r="R525" s="138"/>
      <c r="U525" s="138"/>
      <c r="X525" s="138"/>
    </row>
    <row r="526" spans="4:24" ht="12.75" customHeight="1" x14ac:dyDescent="0.25">
      <c r="D526" s="138"/>
      <c r="E526" s="138"/>
      <c r="L526" s="138"/>
      <c r="O526" s="138"/>
      <c r="R526" s="138"/>
      <c r="U526" s="138"/>
      <c r="X526" s="138"/>
    </row>
    <row r="527" spans="4:24" ht="12.75" customHeight="1" x14ac:dyDescent="0.25">
      <c r="D527" s="138"/>
      <c r="E527" s="138"/>
      <c r="L527" s="138"/>
      <c r="O527" s="138"/>
      <c r="R527" s="138"/>
      <c r="U527" s="138"/>
      <c r="X527" s="138"/>
    </row>
    <row r="528" spans="4:24" ht="12.75" customHeight="1" x14ac:dyDescent="0.25">
      <c r="D528" s="138"/>
      <c r="E528" s="138"/>
      <c r="L528" s="138"/>
      <c r="O528" s="138"/>
      <c r="R528" s="138"/>
      <c r="U528" s="138"/>
      <c r="X528" s="138"/>
    </row>
    <row r="529" spans="4:24" ht="12.75" customHeight="1" x14ac:dyDescent="0.25">
      <c r="D529" s="138"/>
      <c r="E529" s="138"/>
      <c r="L529" s="138"/>
      <c r="O529" s="138"/>
      <c r="R529" s="138"/>
      <c r="U529" s="138"/>
      <c r="X529" s="138"/>
    </row>
    <row r="530" spans="4:24" ht="12.75" customHeight="1" x14ac:dyDescent="0.25">
      <c r="D530" s="138"/>
      <c r="E530" s="138"/>
      <c r="L530" s="138"/>
      <c r="O530" s="138"/>
      <c r="R530" s="138"/>
      <c r="U530" s="138"/>
      <c r="X530" s="138"/>
    </row>
    <row r="531" spans="4:24" ht="12.75" customHeight="1" x14ac:dyDescent="0.25">
      <c r="D531" s="138"/>
      <c r="E531" s="138"/>
      <c r="L531" s="138"/>
      <c r="O531" s="138"/>
      <c r="R531" s="138"/>
      <c r="U531" s="138"/>
      <c r="X531" s="138"/>
    </row>
    <row r="532" spans="4:24" ht="12.75" customHeight="1" x14ac:dyDescent="0.25">
      <c r="D532" s="138"/>
      <c r="E532" s="138"/>
      <c r="L532" s="138"/>
      <c r="O532" s="138"/>
      <c r="R532" s="138"/>
      <c r="U532" s="138"/>
      <c r="X532" s="138"/>
    </row>
    <row r="533" spans="4:24" ht="12.75" customHeight="1" x14ac:dyDescent="0.25">
      <c r="D533" s="138"/>
      <c r="E533" s="138"/>
      <c r="L533" s="138"/>
      <c r="O533" s="138"/>
      <c r="R533" s="138"/>
      <c r="U533" s="138"/>
      <c r="X533" s="138"/>
    </row>
    <row r="534" spans="4:24" ht="12.75" customHeight="1" x14ac:dyDescent="0.25">
      <c r="D534" s="138"/>
      <c r="E534" s="138"/>
      <c r="L534" s="138"/>
      <c r="O534" s="138"/>
      <c r="R534" s="138"/>
      <c r="U534" s="138"/>
      <c r="X534" s="138"/>
    </row>
    <row r="535" spans="4:24" ht="12.75" customHeight="1" x14ac:dyDescent="0.25">
      <c r="D535" s="138"/>
      <c r="E535" s="138"/>
      <c r="L535" s="138"/>
      <c r="O535" s="138"/>
      <c r="R535" s="138"/>
      <c r="U535" s="138"/>
      <c r="X535" s="138"/>
    </row>
    <row r="536" spans="4:24" ht="12.75" customHeight="1" x14ac:dyDescent="0.25">
      <c r="D536" s="138"/>
      <c r="E536" s="138"/>
      <c r="L536" s="138"/>
      <c r="O536" s="138"/>
      <c r="R536" s="138"/>
      <c r="U536" s="138"/>
      <c r="X536" s="138"/>
    </row>
    <row r="537" spans="4:24" ht="12.75" customHeight="1" x14ac:dyDescent="0.25">
      <c r="D537" s="138"/>
      <c r="E537" s="138"/>
      <c r="L537" s="138"/>
      <c r="O537" s="138"/>
      <c r="R537" s="138"/>
      <c r="U537" s="138"/>
      <c r="X537" s="138"/>
    </row>
    <row r="538" spans="4:24" ht="12.75" customHeight="1" x14ac:dyDescent="0.25">
      <c r="D538" s="138"/>
      <c r="E538" s="138"/>
      <c r="L538" s="138"/>
      <c r="O538" s="138"/>
      <c r="R538" s="138"/>
      <c r="U538" s="138"/>
      <c r="X538" s="138"/>
    </row>
    <row r="539" spans="4:24" ht="12.75" customHeight="1" x14ac:dyDescent="0.25">
      <c r="D539" s="138"/>
      <c r="E539" s="138"/>
      <c r="L539" s="138"/>
      <c r="O539" s="138"/>
      <c r="R539" s="138"/>
      <c r="U539" s="138"/>
      <c r="X539" s="138"/>
    </row>
    <row r="540" spans="4:24" ht="12.75" customHeight="1" x14ac:dyDescent="0.25">
      <c r="D540" s="138"/>
      <c r="E540" s="138"/>
      <c r="L540" s="138"/>
      <c r="O540" s="138"/>
      <c r="R540" s="138"/>
      <c r="U540" s="138"/>
      <c r="X540" s="138"/>
    </row>
    <row r="541" spans="4:24" ht="12.75" customHeight="1" x14ac:dyDescent="0.25">
      <c r="D541" s="138"/>
      <c r="E541" s="138"/>
      <c r="L541" s="138"/>
      <c r="O541" s="138"/>
      <c r="R541" s="138"/>
      <c r="U541" s="138"/>
      <c r="X541" s="138"/>
    </row>
    <row r="542" spans="4:24" ht="12.75" customHeight="1" x14ac:dyDescent="0.25">
      <c r="D542" s="138"/>
      <c r="E542" s="138"/>
      <c r="L542" s="138"/>
      <c r="O542" s="138"/>
      <c r="R542" s="138"/>
      <c r="U542" s="138"/>
      <c r="X542" s="138"/>
    </row>
    <row r="543" spans="4:24" ht="12.75" customHeight="1" x14ac:dyDescent="0.25">
      <c r="D543" s="138"/>
      <c r="E543" s="138"/>
      <c r="L543" s="138"/>
      <c r="O543" s="138"/>
      <c r="R543" s="138"/>
      <c r="U543" s="138"/>
      <c r="X543" s="138"/>
    </row>
    <row r="544" spans="4:24" ht="12.75" customHeight="1" x14ac:dyDescent="0.25">
      <c r="D544" s="138"/>
      <c r="E544" s="138"/>
      <c r="L544" s="138"/>
      <c r="O544" s="138"/>
      <c r="R544" s="138"/>
      <c r="U544" s="138"/>
      <c r="X544" s="138"/>
    </row>
    <row r="545" spans="4:24" ht="12.75" customHeight="1" x14ac:dyDescent="0.25">
      <c r="D545" s="138"/>
      <c r="E545" s="138"/>
      <c r="L545" s="138"/>
      <c r="O545" s="138"/>
      <c r="R545" s="138"/>
      <c r="U545" s="138"/>
      <c r="X545" s="138"/>
    </row>
    <row r="546" spans="4:24" ht="12.75" customHeight="1" x14ac:dyDescent="0.25">
      <c r="D546" s="138"/>
      <c r="E546" s="138"/>
      <c r="L546" s="138"/>
      <c r="O546" s="138"/>
      <c r="R546" s="138"/>
      <c r="U546" s="138"/>
      <c r="X546" s="138"/>
    </row>
    <row r="547" spans="4:24" ht="12.75" customHeight="1" x14ac:dyDescent="0.25">
      <c r="D547" s="138"/>
      <c r="E547" s="138"/>
      <c r="L547" s="138"/>
      <c r="O547" s="138"/>
      <c r="R547" s="138"/>
      <c r="U547" s="138"/>
      <c r="X547" s="138"/>
    </row>
    <row r="548" spans="4:24" ht="12.75" customHeight="1" x14ac:dyDescent="0.25">
      <c r="D548" s="138"/>
      <c r="E548" s="138"/>
      <c r="L548" s="138"/>
      <c r="O548" s="138"/>
      <c r="R548" s="138"/>
      <c r="U548" s="138"/>
      <c r="X548" s="138"/>
    </row>
    <row r="549" spans="4:24" ht="12.75" customHeight="1" x14ac:dyDescent="0.25">
      <c r="D549" s="138"/>
      <c r="E549" s="138"/>
      <c r="L549" s="138"/>
      <c r="O549" s="138"/>
      <c r="R549" s="138"/>
      <c r="U549" s="138"/>
      <c r="X549" s="138"/>
    </row>
    <row r="550" spans="4:24" ht="12.75" customHeight="1" x14ac:dyDescent="0.25">
      <c r="D550" s="138"/>
      <c r="E550" s="138"/>
      <c r="L550" s="138"/>
      <c r="O550" s="138"/>
      <c r="R550" s="138"/>
      <c r="U550" s="138"/>
      <c r="X550" s="138"/>
    </row>
    <row r="551" spans="4:24" ht="12.75" customHeight="1" x14ac:dyDescent="0.25">
      <c r="D551" s="138"/>
      <c r="E551" s="138"/>
      <c r="L551" s="138"/>
      <c r="O551" s="138"/>
      <c r="R551" s="138"/>
      <c r="U551" s="138"/>
      <c r="X551" s="138"/>
    </row>
    <row r="552" spans="4:24" ht="12.75" customHeight="1" x14ac:dyDescent="0.25">
      <c r="D552" s="138"/>
      <c r="E552" s="138"/>
      <c r="L552" s="138"/>
      <c r="O552" s="138"/>
      <c r="R552" s="138"/>
      <c r="U552" s="138"/>
      <c r="X552" s="138"/>
    </row>
    <row r="553" spans="4:24" ht="12.75" customHeight="1" x14ac:dyDescent="0.25">
      <c r="D553" s="138"/>
      <c r="E553" s="138"/>
      <c r="L553" s="138"/>
      <c r="O553" s="138"/>
      <c r="R553" s="138"/>
      <c r="U553" s="138"/>
      <c r="X553" s="138"/>
    </row>
    <row r="554" spans="4:24" ht="12.75" customHeight="1" x14ac:dyDescent="0.25">
      <c r="D554" s="138"/>
      <c r="E554" s="138"/>
      <c r="L554" s="138"/>
      <c r="O554" s="138"/>
      <c r="R554" s="138"/>
      <c r="U554" s="138"/>
      <c r="X554" s="138"/>
    </row>
    <row r="555" spans="4:24" ht="12.75" customHeight="1" x14ac:dyDescent="0.25">
      <c r="D555" s="138"/>
      <c r="E555" s="138"/>
      <c r="L555" s="138"/>
      <c r="O555" s="138"/>
      <c r="R555" s="138"/>
      <c r="U555" s="138"/>
      <c r="X555" s="138"/>
    </row>
    <row r="556" spans="4:24" ht="12.75" customHeight="1" x14ac:dyDescent="0.25">
      <c r="D556" s="138"/>
      <c r="E556" s="138"/>
      <c r="L556" s="138"/>
      <c r="O556" s="138"/>
      <c r="R556" s="138"/>
      <c r="U556" s="138"/>
      <c r="X556" s="138"/>
    </row>
    <row r="557" spans="4:24" ht="12.75" customHeight="1" x14ac:dyDescent="0.25">
      <c r="D557" s="138"/>
      <c r="E557" s="138"/>
      <c r="L557" s="138"/>
      <c r="O557" s="138"/>
      <c r="R557" s="138"/>
      <c r="U557" s="138"/>
      <c r="X557" s="138"/>
    </row>
    <row r="558" spans="4:24" ht="12.75" customHeight="1" x14ac:dyDescent="0.25">
      <c r="D558" s="138"/>
      <c r="E558" s="138"/>
      <c r="L558" s="138"/>
      <c r="O558" s="138"/>
      <c r="R558" s="138"/>
      <c r="U558" s="138"/>
      <c r="X558" s="138"/>
    </row>
    <row r="559" spans="4:24" ht="12.75" customHeight="1" x14ac:dyDescent="0.25">
      <c r="D559" s="138"/>
      <c r="E559" s="138"/>
      <c r="L559" s="138"/>
      <c r="O559" s="138"/>
      <c r="R559" s="138"/>
      <c r="U559" s="138"/>
      <c r="X559" s="138"/>
    </row>
    <row r="560" spans="4:24" ht="12.75" customHeight="1" x14ac:dyDescent="0.25">
      <c r="D560" s="138"/>
      <c r="E560" s="138"/>
      <c r="L560" s="138"/>
      <c r="O560" s="138"/>
      <c r="R560" s="138"/>
      <c r="U560" s="138"/>
      <c r="X560" s="138"/>
    </row>
    <row r="561" spans="4:24" ht="12.75" customHeight="1" x14ac:dyDescent="0.25">
      <c r="D561" s="138"/>
      <c r="E561" s="138"/>
      <c r="L561" s="138"/>
      <c r="O561" s="138"/>
      <c r="R561" s="138"/>
      <c r="U561" s="138"/>
      <c r="X561" s="138"/>
    </row>
    <row r="562" spans="4:24" ht="12.75" customHeight="1" x14ac:dyDescent="0.25">
      <c r="D562" s="138"/>
      <c r="E562" s="138"/>
      <c r="L562" s="138"/>
      <c r="O562" s="138"/>
      <c r="R562" s="138"/>
      <c r="U562" s="138"/>
      <c r="X562" s="138"/>
    </row>
    <row r="563" spans="4:24" ht="12.75" customHeight="1" x14ac:dyDescent="0.25">
      <c r="D563" s="138"/>
      <c r="E563" s="138"/>
      <c r="L563" s="138"/>
      <c r="O563" s="138"/>
      <c r="R563" s="138"/>
      <c r="U563" s="138"/>
      <c r="X563" s="138"/>
    </row>
    <row r="564" spans="4:24" ht="12.75" customHeight="1" x14ac:dyDescent="0.25">
      <c r="D564" s="138"/>
      <c r="E564" s="138"/>
      <c r="L564" s="138"/>
      <c r="O564" s="138"/>
      <c r="R564" s="138"/>
      <c r="U564" s="138"/>
      <c r="X564" s="138"/>
    </row>
    <row r="565" spans="4:24" ht="12.75" customHeight="1" x14ac:dyDescent="0.25">
      <c r="D565" s="138"/>
      <c r="E565" s="138"/>
      <c r="L565" s="138"/>
      <c r="O565" s="138"/>
      <c r="R565" s="138"/>
      <c r="U565" s="138"/>
      <c r="X565" s="138"/>
    </row>
    <row r="566" spans="4:24" ht="12.75" customHeight="1" x14ac:dyDescent="0.25">
      <c r="D566" s="138"/>
      <c r="E566" s="138"/>
      <c r="L566" s="138"/>
      <c r="O566" s="138"/>
      <c r="R566" s="138"/>
      <c r="U566" s="138"/>
      <c r="X566" s="138"/>
    </row>
    <row r="567" spans="4:24" ht="12.75" customHeight="1" x14ac:dyDescent="0.25">
      <c r="D567" s="138"/>
      <c r="E567" s="138"/>
      <c r="L567" s="138"/>
      <c r="O567" s="138"/>
      <c r="R567" s="138"/>
      <c r="U567" s="138"/>
      <c r="X567" s="138"/>
    </row>
    <row r="568" spans="4:24" ht="12.75" customHeight="1" x14ac:dyDescent="0.25">
      <c r="D568" s="138"/>
      <c r="E568" s="138"/>
      <c r="L568" s="138"/>
      <c r="O568" s="138"/>
      <c r="R568" s="138"/>
      <c r="U568" s="138"/>
      <c r="X568" s="138"/>
    </row>
    <row r="569" spans="4:24" ht="12.75" customHeight="1" x14ac:dyDescent="0.25">
      <c r="D569" s="138"/>
      <c r="E569" s="138"/>
      <c r="L569" s="138"/>
      <c r="O569" s="138"/>
      <c r="R569" s="138"/>
      <c r="U569" s="138"/>
      <c r="X569" s="138"/>
    </row>
    <row r="570" spans="4:24" ht="12.75" customHeight="1" x14ac:dyDescent="0.25">
      <c r="D570" s="138"/>
      <c r="E570" s="138"/>
      <c r="L570" s="138"/>
      <c r="O570" s="138"/>
      <c r="R570" s="138"/>
      <c r="U570" s="138"/>
      <c r="X570" s="138"/>
    </row>
    <row r="571" spans="4:24" ht="12.75" customHeight="1" x14ac:dyDescent="0.25">
      <c r="D571" s="138"/>
      <c r="E571" s="138"/>
      <c r="L571" s="138"/>
      <c r="O571" s="138"/>
      <c r="R571" s="138"/>
      <c r="U571" s="138"/>
      <c r="X571" s="138"/>
    </row>
    <row r="572" spans="4:24" ht="12.75" customHeight="1" x14ac:dyDescent="0.25">
      <c r="D572" s="138"/>
      <c r="E572" s="138"/>
      <c r="L572" s="138"/>
      <c r="O572" s="138"/>
      <c r="R572" s="138"/>
      <c r="U572" s="138"/>
      <c r="X572" s="138"/>
    </row>
    <row r="573" spans="4:24" ht="12.75" customHeight="1" x14ac:dyDescent="0.25">
      <c r="D573" s="138"/>
      <c r="E573" s="138"/>
      <c r="L573" s="138"/>
      <c r="O573" s="138"/>
      <c r="R573" s="138"/>
      <c r="U573" s="138"/>
      <c r="X573" s="138"/>
    </row>
    <row r="574" spans="4:24" ht="12.75" customHeight="1" x14ac:dyDescent="0.25">
      <c r="D574" s="138"/>
      <c r="E574" s="138"/>
      <c r="L574" s="138"/>
      <c r="O574" s="138"/>
      <c r="R574" s="138"/>
      <c r="U574" s="138"/>
      <c r="X574" s="138"/>
    </row>
    <row r="575" spans="4:24" ht="12.75" customHeight="1" x14ac:dyDescent="0.25">
      <c r="D575" s="138"/>
      <c r="E575" s="138"/>
      <c r="L575" s="138"/>
      <c r="O575" s="138"/>
      <c r="R575" s="138"/>
      <c r="U575" s="138"/>
      <c r="X575" s="138"/>
    </row>
    <row r="576" spans="4:24" ht="12.75" customHeight="1" x14ac:dyDescent="0.25">
      <c r="D576" s="138"/>
      <c r="E576" s="138"/>
      <c r="L576" s="138"/>
      <c r="O576" s="138"/>
      <c r="R576" s="138"/>
      <c r="U576" s="138"/>
      <c r="X576" s="138"/>
    </row>
    <row r="577" spans="4:24" ht="12.75" customHeight="1" x14ac:dyDescent="0.25">
      <c r="D577" s="138"/>
      <c r="E577" s="138"/>
      <c r="L577" s="138"/>
      <c r="O577" s="138"/>
      <c r="R577" s="138"/>
      <c r="U577" s="138"/>
      <c r="X577" s="138"/>
    </row>
    <row r="578" spans="4:24" ht="12.75" customHeight="1" x14ac:dyDescent="0.25">
      <c r="D578" s="138"/>
      <c r="E578" s="138"/>
      <c r="L578" s="138"/>
      <c r="O578" s="138"/>
      <c r="R578" s="138"/>
      <c r="U578" s="138"/>
      <c r="X578" s="138"/>
    </row>
    <row r="579" spans="4:24" ht="12.75" customHeight="1" x14ac:dyDescent="0.25">
      <c r="D579" s="138"/>
      <c r="E579" s="138"/>
      <c r="L579" s="138"/>
      <c r="O579" s="138"/>
      <c r="R579" s="138"/>
      <c r="U579" s="138"/>
      <c r="X579" s="138"/>
    </row>
    <row r="580" spans="4:24" ht="12.75" customHeight="1" x14ac:dyDescent="0.25">
      <c r="D580" s="138"/>
      <c r="E580" s="138"/>
      <c r="L580" s="138"/>
      <c r="O580" s="138"/>
      <c r="R580" s="138"/>
      <c r="U580" s="138"/>
      <c r="X580" s="138"/>
    </row>
    <row r="581" spans="4:24" ht="12.75" customHeight="1" x14ac:dyDescent="0.25">
      <c r="D581" s="138"/>
      <c r="E581" s="138"/>
      <c r="L581" s="138"/>
      <c r="O581" s="138"/>
      <c r="R581" s="138"/>
      <c r="U581" s="138"/>
      <c r="X581" s="138"/>
    </row>
    <row r="582" spans="4:24" ht="12.75" customHeight="1" x14ac:dyDescent="0.25">
      <c r="D582" s="138"/>
      <c r="E582" s="138"/>
      <c r="L582" s="138"/>
      <c r="O582" s="138"/>
      <c r="R582" s="138"/>
      <c r="U582" s="138"/>
      <c r="X582" s="138"/>
    </row>
    <row r="583" spans="4:24" ht="12.75" customHeight="1" x14ac:dyDescent="0.25">
      <c r="D583" s="138"/>
      <c r="E583" s="138"/>
      <c r="L583" s="138"/>
      <c r="O583" s="138"/>
      <c r="R583" s="138"/>
      <c r="U583" s="138"/>
      <c r="X583" s="138"/>
    </row>
    <row r="584" spans="4:24" ht="12.75" customHeight="1" x14ac:dyDescent="0.25">
      <c r="D584" s="138"/>
      <c r="E584" s="138"/>
      <c r="L584" s="138"/>
      <c r="O584" s="138"/>
      <c r="R584" s="138"/>
      <c r="U584" s="138"/>
      <c r="X584" s="138"/>
    </row>
    <row r="585" spans="4:24" ht="12.75" customHeight="1" x14ac:dyDescent="0.25">
      <c r="D585" s="138"/>
      <c r="E585" s="138"/>
      <c r="L585" s="138"/>
      <c r="O585" s="138"/>
      <c r="R585" s="138"/>
      <c r="U585" s="138"/>
      <c r="X585" s="138"/>
    </row>
    <row r="586" spans="4:24" ht="12.75" customHeight="1" x14ac:dyDescent="0.25">
      <c r="D586" s="138"/>
      <c r="E586" s="138"/>
      <c r="L586" s="138"/>
      <c r="O586" s="138"/>
      <c r="R586" s="138"/>
      <c r="U586" s="138"/>
      <c r="X586" s="138"/>
    </row>
    <row r="587" spans="4:24" ht="12.75" customHeight="1" x14ac:dyDescent="0.25">
      <c r="D587" s="138"/>
      <c r="E587" s="138"/>
      <c r="L587" s="138"/>
      <c r="O587" s="138"/>
      <c r="R587" s="138"/>
      <c r="U587" s="138"/>
      <c r="X587" s="138"/>
    </row>
    <row r="588" spans="4:24" ht="12.75" customHeight="1" x14ac:dyDescent="0.25">
      <c r="D588" s="138"/>
      <c r="E588" s="138"/>
      <c r="L588" s="138"/>
      <c r="O588" s="138"/>
      <c r="R588" s="138"/>
      <c r="U588" s="138"/>
      <c r="X588" s="138"/>
    </row>
    <row r="589" spans="4:24" ht="12.75" customHeight="1" x14ac:dyDescent="0.25">
      <c r="D589" s="138"/>
      <c r="E589" s="138"/>
      <c r="L589" s="138"/>
      <c r="O589" s="138"/>
      <c r="R589" s="138"/>
      <c r="U589" s="138"/>
      <c r="X589" s="138"/>
    </row>
    <row r="590" spans="4:24" ht="12.75" customHeight="1" x14ac:dyDescent="0.25">
      <c r="D590" s="138"/>
      <c r="E590" s="138"/>
      <c r="L590" s="138"/>
      <c r="O590" s="138"/>
      <c r="R590" s="138"/>
      <c r="U590" s="138"/>
      <c r="X590" s="138"/>
    </row>
    <row r="591" spans="4:24" ht="12.75" customHeight="1" x14ac:dyDescent="0.25">
      <c r="D591" s="138"/>
      <c r="E591" s="138"/>
      <c r="L591" s="138"/>
      <c r="O591" s="138"/>
      <c r="R591" s="138"/>
      <c r="U591" s="138"/>
      <c r="X591" s="138"/>
    </row>
    <row r="592" spans="4:24" ht="12.75" customHeight="1" x14ac:dyDescent="0.25">
      <c r="D592" s="138"/>
      <c r="E592" s="138"/>
      <c r="L592" s="138"/>
      <c r="O592" s="138"/>
      <c r="R592" s="138"/>
      <c r="U592" s="138"/>
      <c r="X592" s="138"/>
    </row>
    <row r="593" spans="4:24" ht="12.75" customHeight="1" x14ac:dyDescent="0.25">
      <c r="D593" s="138"/>
      <c r="E593" s="138"/>
      <c r="L593" s="138"/>
      <c r="O593" s="138"/>
      <c r="R593" s="138"/>
      <c r="U593" s="138"/>
      <c r="X593" s="138"/>
    </row>
    <row r="594" spans="4:24" ht="12.75" customHeight="1" x14ac:dyDescent="0.25">
      <c r="D594" s="138"/>
      <c r="E594" s="138"/>
      <c r="L594" s="138"/>
      <c r="O594" s="138"/>
      <c r="R594" s="138"/>
      <c r="U594" s="138"/>
      <c r="X594" s="138"/>
    </row>
    <row r="595" spans="4:24" ht="12.75" customHeight="1" x14ac:dyDescent="0.25">
      <c r="D595" s="138"/>
      <c r="E595" s="138"/>
      <c r="L595" s="138"/>
      <c r="O595" s="138"/>
      <c r="R595" s="138"/>
      <c r="U595" s="138"/>
      <c r="X595" s="138"/>
    </row>
    <row r="596" spans="4:24" ht="12.75" customHeight="1" x14ac:dyDescent="0.25">
      <c r="D596" s="138"/>
      <c r="E596" s="138"/>
      <c r="L596" s="138"/>
      <c r="O596" s="138"/>
      <c r="R596" s="138"/>
      <c r="U596" s="138"/>
      <c r="X596" s="138"/>
    </row>
    <row r="597" spans="4:24" ht="12.75" customHeight="1" x14ac:dyDescent="0.25">
      <c r="D597" s="138"/>
      <c r="E597" s="138"/>
      <c r="L597" s="138"/>
      <c r="O597" s="138"/>
      <c r="R597" s="138"/>
      <c r="U597" s="138"/>
      <c r="X597" s="138"/>
    </row>
    <row r="598" spans="4:24" ht="12.75" customHeight="1" x14ac:dyDescent="0.25">
      <c r="D598" s="138"/>
      <c r="E598" s="138"/>
      <c r="L598" s="138"/>
      <c r="O598" s="138"/>
      <c r="R598" s="138"/>
      <c r="U598" s="138"/>
      <c r="X598" s="138"/>
    </row>
    <row r="599" spans="4:24" ht="12.75" customHeight="1" x14ac:dyDescent="0.25">
      <c r="D599" s="138"/>
      <c r="E599" s="138"/>
      <c r="L599" s="138"/>
      <c r="O599" s="138"/>
      <c r="R599" s="138"/>
      <c r="U599" s="138"/>
      <c r="X599" s="138"/>
    </row>
    <row r="600" spans="4:24" ht="12.75" customHeight="1" x14ac:dyDescent="0.25">
      <c r="D600" s="138"/>
      <c r="E600" s="138"/>
      <c r="L600" s="138"/>
      <c r="O600" s="138"/>
      <c r="R600" s="138"/>
      <c r="U600" s="138"/>
      <c r="X600" s="138"/>
    </row>
    <row r="601" spans="4:24" ht="12.75" customHeight="1" x14ac:dyDescent="0.25">
      <c r="D601" s="138"/>
      <c r="E601" s="138"/>
      <c r="L601" s="138"/>
      <c r="O601" s="138"/>
      <c r="R601" s="138"/>
      <c r="U601" s="138"/>
      <c r="X601" s="138"/>
    </row>
    <row r="602" spans="4:24" ht="12.75" customHeight="1" x14ac:dyDescent="0.25">
      <c r="D602" s="138"/>
      <c r="E602" s="138"/>
      <c r="L602" s="138"/>
      <c r="O602" s="138"/>
      <c r="R602" s="138"/>
      <c r="U602" s="138"/>
      <c r="X602" s="138"/>
    </row>
    <row r="603" spans="4:24" ht="12.75" customHeight="1" x14ac:dyDescent="0.25">
      <c r="D603" s="138"/>
      <c r="E603" s="138"/>
      <c r="L603" s="138"/>
      <c r="O603" s="138"/>
      <c r="R603" s="138"/>
      <c r="U603" s="138"/>
      <c r="X603" s="138"/>
    </row>
    <row r="604" spans="4:24" ht="12.75" customHeight="1" x14ac:dyDescent="0.25">
      <c r="D604" s="138"/>
      <c r="E604" s="138"/>
      <c r="L604" s="138"/>
      <c r="O604" s="138"/>
      <c r="R604" s="138"/>
      <c r="U604" s="138"/>
      <c r="X604" s="138"/>
    </row>
    <row r="605" spans="4:24" ht="12.75" customHeight="1" x14ac:dyDescent="0.25">
      <c r="D605" s="138"/>
      <c r="E605" s="138"/>
      <c r="L605" s="138"/>
      <c r="O605" s="138"/>
      <c r="R605" s="138"/>
      <c r="U605" s="138"/>
      <c r="X605" s="138"/>
    </row>
    <row r="606" spans="4:24" ht="12.75" customHeight="1" x14ac:dyDescent="0.25">
      <c r="D606" s="138"/>
      <c r="E606" s="138"/>
      <c r="L606" s="138"/>
      <c r="O606" s="138"/>
      <c r="R606" s="138"/>
      <c r="U606" s="138"/>
      <c r="X606" s="138"/>
    </row>
    <row r="607" spans="4:24" ht="12.75" customHeight="1" x14ac:dyDescent="0.25">
      <c r="D607" s="138"/>
      <c r="E607" s="138"/>
      <c r="L607" s="138"/>
      <c r="O607" s="138"/>
      <c r="R607" s="138"/>
      <c r="U607" s="138"/>
      <c r="X607" s="138"/>
    </row>
    <row r="608" spans="4:24" ht="12.75" customHeight="1" x14ac:dyDescent="0.25">
      <c r="D608" s="138"/>
      <c r="E608" s="138"/>
      <c r="L608" s="138"/>
      <c r="O608" s="138"/>
      <c r="R608" s="138"/>
      <c r="U608" s="138"/>
      <c r="X608" s="138"/>
    </row>
    <row r="609" spans="4:24" ht="12.75" customHeight="1" x14ac:dyDescent="0.25">
      <c r="D609" s="138"/>
      <c r="E609" s="138"/>
      <c r="L609" s="138"/>
      <c r="O609" s="138"/>
      <c r="R609" s="138"/>
      <c r="U609" s="138"/>
      <c r="X609" s="138"/>
    </row>
    <row r="610" spans="4:24" ht="12.75" customHeight="1" x14ac:dyDescent="0.25">
      <c r="D610" s="138"/>
      <c r="E610" s="138"/>
      <c r="L610" s="138"/>
      <c r="O610" s="138"/>
      <c r="R610" s="138"/>
      <c r="U610" s="138"/>
      <c r="X610" s="138"/>
    </row>
    <row r="611" spans="4:24" ht="12.75" customHeight="1" x14ac:dyDescent="0.25">
      <c r="D611" s="138"/>
      <c r="E611" s="138"/>
      <c r="L611" s="138"/>
      <c r="O611" s="138"/>
      <c r="R611" s="138"/>
      <c r="U611" s="138"/>
      <c r="X611" s="138"/>
    </row>
    <row r="612" spans="4:24" ht="12.75" customHeight="1" x14ac:dyDescent="0.25">
      <c r="D612" s="138"/>
      <c r="E612" s="138"/>
      <c r="L612" s="138"/>
      <c r="O612" s="138"/>
      <c r="R612" s="138"/>
      <c r="U612" s="138"/>
      <c r="X612" s="138"/>
    </row>
    <row r="613" spans="4:24" ht="12.75" customHeight="1" x14ac:dyDescent="0.25">
      <c r="D613" s="138"/>
      <c r="E613" s="138"/>
      <c r="L613" s="138"/>
      <c r="O613" s="138"/>
      <c r="R613" s="138"/>
      <c r="U613" s="138"/>
      <c r="X613" s="138"/>
    </row>
    <row r="614" spans="4:24" ht="12.75" customHeight="1" x14ac:dyDescent="0.25">
      <c r="D614" s="138"/>
      <c r="E614" s="138"/>
      <c r="L614" s="138"/>
      <c r="O614" s="138"/>
      <c r="R614" s="138"/>
      <c r="U614" s="138"/>
      <c r="X614" s="138"/>
    </row>
    <row r="615" spans="4:24" ht="12.75" customHeight="1" x14ac:dyDescent="0.25">
      <c r="D615" s="138"/>
      <c r="E615" s="138"/>
      <c r="L615" s="138"/>
      <c r="O615" s="138"/>
      <c r="R615" s="138"/>
      <c r="U615" s="138"/>
      <c r="X615" s="138"/>
    </row>
    <row r="616" spans="4:24" ht="12.75" customHeight="1" x14ac:dyDescent="0.25">
      <c r="D616" s="138"/>
      <c r="E616" s="138"/>
      <c r="L616" s="138"/>
      <c r="O616" s="138"/>
      <c r="R616" s="138"/>
      <c r="U616" s="138"/>
      <c r="X616" s="138"/>
    </row>
    <row r="617" spans="4:24" ht="12.75" customHeight="1" x14ac:dyDescent="0.25">
      <c r="D617" s="138"/>
      <c r="E617" s="138"/>
      <c r="L617" s="138"/>
      <c r="O617" s="138"/>
      <c r="R617" s="138"/>
      <c r="U617" s="138"/>
      <c r="X617" s="138"/>
    </row>
    <row r="618" spans="4:24" ht="12.75" customHeight="1" x14ac:dyDescent="0.25">
      <c r="D618" s="138"/>
      <c r="E618" s="138"/>
      <c r="L618" s="138"/>
      <c r="O618" s="138"/>
      <c r="R618" s="138"/>
      <c r="U618" s="138"/>
      <c r="X618" s="138"/>
    </row>
    <row r="619" spans="4:24" ht="12.75" customHeight="1" x14ac:dyDescent="0.25">
      <c r="D619" s="138"/>
      <c r="E619" s="138"/>
      <c r="L619" s="138"/>
      <c r="O619" s="138"/>
      <c r="R619" s="138"/>
      <c r="U619" s="138"/>
      <c r="X619" s="138"/>
    </row>
    <row r="620" spans="4:24" ht="12.75" customHeight="1" x14ac:dyDescent="0.25">
      <c r="D620" s="138"/>
      <c r="E620" s="138"/>
      <c r="L620" s="138"/>
      <c r="O620" s="138"/>
      <c r="R620" s="138"/>
      <c r="U620" s="138"/>
      <c r="X620" s="138"/>
    </row>
    <row r="621" spans="4:24" ht="12.75" customHeight="1" x14ac:dyDescent="0.25">
      <c r="D621" s="138"/>
      <c r="E621" s="138"/>
      <c r="L621" s="138"/>
      <c r="O621" s="138"/>
      <c r="R621" s="138"/>
      <c r="U621" s="138"/>
      <c r="X621" s="138"/>
    </row>
    <row r="622" spans="4:24" ht="12.75" customHeight="1" x14ac:dyDescent="0.25">
      <c r="D622" s="138"/>
      <c r="E622" s="138"/>
      <c r="L622" s="138"/>
      <c r="O622" s="138"/>
      <c r="R622" s="138"/>
      <c r="U622" s="138"/>
      <c r="X622" s="138"/>
    </row>
    <row r="623" spans="4:24" ht="12.75" customHeight="1" x14ac:dyDescent="0.25">
      <c r="D623" s="138"/>
      <c r="E623" s="138"/>
      <c r="L623" s="138"/>
      <c r="O623" s="138"/>
      <c r="R623" s="138"/>
      <c r="U623" s="138"/>
      <c r="X623" s="138"/>
    </row>
    <row r="624" spans="4:24" ht="12.75" customHeight="1" x14ac:dyDescent="0.25">
      <c r="D624" s="138"/>
      <c r="E624" s="138"/>
      <c r="L624" s="138"/>
      <c r="O624" s="138"/>
      <c r="R624" s="138"/>
      <c r="U624" s="138"/>
      <c r="X624" s="138"/>
    </row>
    <row r="625" spans="4:24" ht="12.75" customHeight="1" x14ac:dyDescent="0.25">
      <c r="D625" s="138"/>
      <c r="E625" s="138"/>
      <c r="L625" s="138"/>
      <c r="O625" s="138"/>
      <c r="R625" s="138"/>
      <c r="U625" s="138"/>
      <c r="X625" s="138"/>
    </row>
    <row r="626" spans="4:24" ht="12.75" customHeight="1" x14ac:dyDescent="0.25">
      <c r="D626" s="138"/>
      <c r="E626" s="138"/>
      <c r="L626" s="138"/>
      <c r="O626" s="138"/>
      <c r="R626" s="138"/>
      <c r="U626" s="138"/>
      <c r="X626" s="138"/>
    </row>
    <row r="627" spans="4:24" ht="12.75" customHeight="1" x14ac:dyDescent="0.25">
      <c r="D627" s="138"/>
      <c r="E627" s="138"/>
      <c r="L627" s="138"/>
      <c r="O627" s="138"/>
      <c r="R627" s="138"/>
      <c r="U627" s="138"/>
      <c r="X627" s="138"/>
    </row>
    <row r="628" spans="4:24" ht="12.75" customHeight="1" x14ac:dyDescent="0.25">
      <c r="D628" s="138"/>
      <c r="E628" s="138"/>
      <c r="L628" s="138"/>
      <c r="O628" s="138"/>
      <c r="R628" s="138"/>
      <c r="U628" s="138"/>
      <c r="X628" s="138"/>
    </row>
    <row r="629" spans="4:24" ht="12.75" customHeight="1" x14ac:dyDescent="0.25">
      <c r="D629" s="138"/>
      <c r="E629" s="138"/>
      <c r="L629" s="138"/>
      <c r="O629" s="138"/>
      <c r="R629" s="138"/>
      <c r="U629" s="138"/>
      <c r="X629" s="138"/>
    </row>
    <row r="630" spans="4:24" ht="12.75" customHeight="1" x14ac:dyDescent="0.25">
      <c r="D630" s="138"/>
      <c r="E630" s="138"/>
      <c r="L630" s="138"/>
      <c r="O630" s="138"/>
      <c r="R630" s="138"/>
      <c r="U630" s="138"/>
      <c r="X630" s="138"/>
    </row>
    <row r="631" spans="4:24" ht="12.75" customHeight="1" x14ac:dyDescent="0.25">
      <c r="D631" s="138"/>
      <c r="E631" s="138"/>
      <c r="L631" s="138"/>
      <c r="O631" s="138"/>
      <c r="R631" s="138"/>
      <c r="U631" s="138"/>
      <c r="X631" s="138"/>
    </row>
    <row r="632" spans="4:24" ht="12.75" customHeight="1" x14ac:dyDescent="0.25">
      <c r="D632" s="138"/>
      <c r="E632" s="138"/>
      <c r="L632" s="138"/>
      <c r="O632" s="138"/>
      <c r="R632" s="138"/>
      <c r="U632" s="138"/>
      <c r="X632" s="138"/>
    </row>
    <row r="633" spans="4:24" ht="12.75" customHeight="1" x14ac:dyDescent="0.25">
      <c r="D633" s="138"/>
      <c r="E633" s="138"/>
      <c r="L633" s="138"/>
      <c r="O633" s="138"/>
      <c r="R633" s="138"/>
      <c r="U633" s="138"/>
      <c r="X633" s="138"/>
    </row>
    <row r="634" spans="4:24" ht="12.75" customHeight="1" x14ac:dyDescent="0.25">
      <c r="D634" s="138"/>
      <c r="E634" s="138"/>
      <c r="L634" s="138"/>
      <c r="O634" s="138"/>
      <c r="R634" s="138"/>
      <c r="U634" s="138"/>
      <c r="X634" s="138"/>
    </row>
    <row r="635" spans="4:24" ht="12.75" customHeight="1" x14ac:dyDescent="0.25">
      <c r="D635" s="138"/>
      <c r="E635" s="138"/>
      <c r="L635" s="138"/>
      <c r="O635" s="138"/>
      <c r="R635" s="138"/>
      <c r="U635" s="138"/>
      <c r="X635" s="138"/>
    </row>
    <row r="636" spans="4:24" ht="12.75" customHeight="1" x14ac:dyDescent="0.25">
      <c r="D636" s="138"/>
      <c r="E636" s="138"/>
      <c r="L636" s="138"/>
      <c r="O636" s="138"/>
      <c r="R636" s="138"/>
      <c r="U636" s="138"/>
      <c r="X636" s="138"/>
    </row>
    <row r="637" spans="4:24" ht="12.75" customHeight="1" x14ac:dyDescent="0.25">
      <c r="D637" s="138"/>
      <c r="E637" s="138"/>
      <c r="L637" s="138"/>
      <c r="O637" s="138"/>
      <c r="R637" s="138"/>
      <c r="U637" s="138"/>
      <c r="X637" s="138"/>
    </row>
    <row r="638" spans="4:24" ht="12.75" customHeight="1" x14ac:dyDescent="0.25">
      <c r="D638" s="138"/>
      <c r="E638" s="138"/>
      <c r="L638" s="138"/>
      <c r="O638" s="138"/>
      <c r="R638" s="138"/>
      <c r="U638" s="138"/>
      <c r="X638" s="138"/>
    </row>
    <row r="639" spans="4:24" ht="12.75" customHeight="1" x14ac:dyDescent="0.25">
      <c r="D639" s="138"/>
      <c r="E639" s="138"/>
      <c r="L639" s="138"/>
      <c r="O639" s="138"/>
      <c r="R639" s="138"/>
      <c r="U639" s="138"/>
      <c r="X639" s="138"/>
    </row>
    <row r="640" spans="4:24" ht="12.75" customHeight="1" x14ac:dyDescent="0.25">
      <c r="D640" s="138"/>
      <c r="E640" s="138"/>
      <c r="L640" s="138"/>
      <c r="O640" s="138"/>
      <c r="R640" s="138"/>
      <c r="U640" s="138"/>
      <c r="X640" s="138"/>
    </row>
    <row r="641" spans="4:24" ht="12.75" customHeight="1" x14ac:dyDescent="0.25">
      <c r="D641" s="138"/>
      <c r="E641" s="138"/>
      <c r="L641" s="138"/>
      <c r="O641" s="138"/>
      <c r="R641" s="138"/>
      <c r="U641" s="138"/>
      <c r="X641" s="138"/>
    </row>
    <row r="642" spans="4:24" ht="12.75" customHeight="1" x14ac:dyDescent="0.25">
      <c r="D642" s="138"/>
      <c r="E642" s="138"/>
      <c r="L642" s="138"/>
      <c r="O642" s="138"/>
      <c r="R642" s="138"/>
      <c r="U642" s="138"/>
      <c r="X642" s="138"/>
    </row>
    <row r="643" spans="4:24" ht="12.75" customHeight="1" x14ac:dyDescent="0.25">
      <c r="D643" s="138"/>
      <c r="E643" s="138"/>
      <c r="L643" s="138"/>
      <c r="O643" s="138"/>
      <c r="R643" s="138"/>
      <c r="U643" s="138"/>
      <c r="X643" s="138"/>
    </row>
    <row r="644" spans="4:24" ht="12.75" customHeight="1" x14ac:dyDescent="0.25">
      <c r="D644" s="138"/>
      <c r="E644" s="138"/>
      <c r="L644" s="138"/>
      <c r="O644" s="138"/>
      <c r="R644" s="138"/>
      <c r="U644" s="138"/>
      <c r="X644" s="138"/>
    </row>
    <row r="645" spans="4:24" ht="12.75" customHeight="1" x14ac:dyDescent="0.25">
      <c r="D645" s="138"/>
      <c r="E645" s="138"/>
      <c r="L645" s="138"/>
      <c r="O645" s="138"/>
      <c r="R645" s="138"/>
      <c r="U645" s="138"/>
      <c r="X645" s="138"/>
    </row>
    <row r="646" spans="4:24" ht="12.75" customHeight="1" x14ac:dyDescent="0.25">
      <c r="D646" s="138"/>
      <c r="E646" s="138"/>
      <c r="L646" s="138"/>
      <c r="O646" s="138"/>
      <c r="R646" s="138"/>
      <c r="U646" s="138"/>
      <c r="X646" s="138"/>
    </row>
    <row r="647" spans="4:24" ht="12.75" customHeight="1" x14ac:dyDescent="0.25">
      <c r="D647" s="138"/>
      <c r="E647" s="138"/>
      <c r="L647" s="138"/>
      <c r="O647" s="138"/>
      <c r="R647" s="138"/>
      <c r="U647" s="138"/>
      <c r="X647" s="138"/>
    </row>
    <row r="648" spans="4:24" ht="12.75" customHeight="1" x14ac:dyDescent="0.25">
      <c r="D648" s="138"/>
      <c r="E648" s="138"/>
      <c r="L648" s="138"/>
      <c r="O648" s="138"/>
      <c r="R648" s="138"/>
      <c r="U648" s="138"/>
      <c r="X648" s="138"/>
    </row>
    <row r="649" spans="4:24" ht="12.75" customHeight="1" x14ac:dyDescent="0.25">
      <c r="D649" s="138"/>
      <c r="E649" s="138"/>
      <c r="L649" s="138"/>
      <c r="O649" s="138"/>
      <c r="R649" s="138"/>
      <c r="U649" s="138"/>
      <c r="X649" s="138"/>
    </row>
    <row r="650" spans="4:24" ht="12.75" customHeight="1" x14ac:dyDescent="0.25">
      <c r="D650" s="138"/>
      <c r="E650" s="138"/>
      <c r="L650" s="138"/>
      <c r="O650" s="138"/>
      <c r="R650" s="138"/>
      <c r="U650" s="138"/>
      <c r="X650" s="138"/>
    </row>
    <row r="651" spans="4:24" ht="12.75" customHeight="1" x14ac:dyDescent="0.25">
      <c r="D651" s="138"/>
      <c r="E651" s="138"/>
      <c r="L651" s="138"/>
      <c r="O651" s="138"/>
      <c r="R651" s="138"/>
      <c r="U651" s="138"/>
      <c r="X651" s="138"/>
    </row>
    <row r="652" spans="4:24" ht="12.75" customHeight="1" x14ac:dyDescent="0.25">
      <c r="D652" s="138"/>
      <c r="E652" s="138"/>
      <c r="L652" s="138"/>
      <c r="O652" s="138"/>
      <c r="R652" s="138"/>
      <c r="U652" s="138"/>
      <c r="X652" s="138"/>
    </row>
    <row r="653" spans="4:24" ht="12.75" customHeight="1" x14ac:dyDescent="0.25">
      <c r="D653" s="138"/>
      <c r="E653" s="138"/>
      <c r="L653" s="138"/>
      <c r="O653" s="138"/>
      <c r="R653" s="138"/>
      <c r="U653" s="138"/>
      <c r="X653" s="138"/>
    </row>
    <row r="654" spans="4:24" ht="12.75" customHeight="1" x14ac:dyDescent="0.25">
      <c r="D654" s="138"/>
      <c r="E654" s="138"/>
      <c r="L654" s="138"/>
      <c r="O654" s="138"/>
      <c r="R654" s="138"/>
      <c r="U654" s="138"/>
      <c r="X654" s="138"/>
    </row>
    <row r="655" spans="4:24" ht="12.75" customHeight="1" x14ac:dyDescent="0.25">
      <c r="D655" s="138"/>
      <c r="E655" s="138"/>
      <c r="L655" s="138"/>
      <c r="O655" s="138"/>
      <c r="R655" s="138"/>
      <c r="U655" s="138"/>
      <c r="X655" s="138"/>
    </row>
    <row r="656" spans="4:24" ht="12.75" customHeight="1" x14ac:dyDescent="0.25">
      <c r="D656" s="138"/>
      <c r="E656" s="138"/>
      <c r="L656" s="138"/>
      <c r="O656" s="138"/>
      <c r="R656" s="138"/>
      <c r="U656" s="138"/>
      <c r="X656" s="138"/>
    </row>
    <row r="657" spans="4:24" ht="12.75" customHeight="1" x14ac:dyDescent="0.25">
      <c r="D657" s="138"/>
      <c r="E657" s="138"/>
      <c r="L657" s="138"/>
      <c r="O657" s="138"/>
      <c r="R657" s="138"/>
      <c r="U657" s="138"/>
      <c r="X657" s="138"/>
    </row>
    <row r="658" spans="4:24" ht="12.75" customHeight="1" x14ac:dyDescent="0.25">
      <c r="D658" s="138"/>
      <c r="E658" s="138"/>
      <c r="L658" s="138"/>
      <c r="O658" s="138"/>
      <c r="R658" s="138"/>
      <c r="U658" s="138"/>
      <c r="X658" s="138"/>
    </row>
    <row r="659" spans="4:24" ht="12.75" customHeight="1" x14ac:dyDescent="0.25">
      <c r="D659" s="138"/>
      <c r="E659" s="138"/>
      <c r="L659" s="138"/>
      <c r="O659" s="138"/>
      <c r="R659" s="138"/>
      <c r="U659" s="138"/>
      <c r="X659" s="138"/>
    </row>
    <row r="660" spans="4:24" ht="12.75" customHeight="1" x14ac:dyDescent="0.25">
      <c r="D660" s="138"/>
      <c r="E660" s="138"/>
      <c r="L660" s="138"/>
      <c r="O660" s="138"/>
      <c r="R660" s="138"/>
      <c r="U660" s="138"/>
      <c r="X660" s="138"/>
    </row>
    <row r="661" spans="4:24" ht="12.75" customHeight="1" x14ac:dyDescent="0.25">
      <c r="D661" s="138"/>
      <c r="E661" s="138"/>
      <c r="L661" s="138"/>
      <c r="O661" s="138"/>
      <c r="R661" s="138"/>
      <c r="U661" s="138"/>
      <c r="X661" s="138"/>
    </row>
    <row r="662" spans="4:24" ht="12.75" customHeight="1" x14ac:dyDescent="0.25">
      <c r="D662" s="138"/>
      <c r="E662" s="138"/>
      <c r="L662" s="138"/>
      <c r="O662" s="138"/>
      <c r="R662" s="138"/>
      <c r="U662" s="138"/>
      <c r="X662" s="138"/>
    </row>
    <row r="663" spans="4:24" ht="12.75" customHeight="1" x14ac:dyDescent="0.25">
      <c r="D663" s="138"/>
      <c r="E663" s="138"/>
      <c r="L663" s="138"/>
      <c r="O663" s="138"/>
      <c r="R663" s="138"/>
      <c r="U663" s="138"/>
      <c r="X663" s="138"/>
    </row>
    <row r="664" spans="4:24" ht="12.75" customHeight="1" x14ac:dyDescent="0.25">
      <c r="D664" s="138"/>
      <c r="E664" s="138"/>
      <c r="L664" s="138"/>
      <c r="O664" s="138"/>
      <c r="R664" s="138"/>
      <c r="U664" s="138"/>
      <c r="X664" s="138"/>
    </row>
    <row r="665" spans="4:24" ht="12.75" customHeight="1" x14ac:dyDescent="0.25">
      <c r="D665" s="138"/>
      <c r="E665" s="138"/>
      <c r="L665" s="138"/>
      <c r="O665" s="138"/>
      <c r="R665" s="138"/>
      <c r="U665" s="138"/>
      <c r="X665" s="138"/>
    </row>
    <row r="666" spans="4:24" ht="12.75" customHeight="1" x14ac:dyDescent="0.25">
      <c r="D666" s="138"/>
      <c r="E666" s="138"/>
      <c r="L666" s="138"/>
      <c r="O666" s="138"/>
      <c r="R666" s="138"/>
      <c r="U666" s="138"/>
      <c r="X666" s="138"/>
    </row>
    <row r="667" spans="4:24" ht="12.75" customHeight="1" x14ac:dyDescent="0.25">
      <c r="D667" s="138"/>
      <c r="E667" s="138"/>
      <c r="L667" s="138"/>
      <c r="O667" s="138"/>
      <c r="R667" s="138"/>
      <c r="U667" s="138"/>
      <c r="X667" s="138"/>
    </row>
    <row r="668" spans="4:24" ht="12.75" customHeight="1" x14ac:dyDescent="0.25">
      <c r="D668" s="138"/>
      <c r="E668" s="138"/>
      <c r="L668" s="138"/>
      <c r="O668" s="138"/>
      <c r="R668" s="138"/>
      <c r="U668" s="138"/>
      <c r="X668" s="138"/>
    </row>
    <row r="669" spans="4:24" ht="12.75" customHeight="1" x14ac:dyDescent="0.25">
      <c r="D669" s="138"/>
      <c r="E669" s="138"/>
      <c r="L669" s="138"/>
      <c r="O669" s="138"/>
      <c r="R669" s="138"/>
      <c r="U669" s="138"/>
      <c r="X669" s="138"/>
    </row>
    <row r="670" spans="4:24" ht="12.75" customHeight="1" x14ac:dyDescent="0.25">
      <c r="D670" s="138"/>
      <c r="E670" s="138"/>
      <c r="L670" s="138"/>
      <c r="O670" s="138"/>
      <c r="R670" s="138"/>
      <c r="U670" s="138"/>
      <c r="X670" s="138"/>
    </row>
    <row r="671" spans="4:24" ht="12.75" customHeight="1" x14ac:dyDescent="0.25">
      <c r="D671" s="138"/>
      <c r="E671" s="138"/>
      <c r="L671" s="138"/>
      <c r="O671" s="138"/>
      <c r="R671" s="138"/>
      <c r="U671" s="138"/>
      <c r="X671" s="138"/>
    </row>
    <row r="672" spans="4:24" ht="12.75" customHeight="1" x14ac:dyDescent="0.25">
      <c r="D672" s="138"/>
      <c r="E672" s="138"/>
      <c r="L672" s="138"/>
      <c r="O672" s="138"/>
      <c r="R672" s="138"/>
      <c r="U672" s="138"/>
      <c r="X672" s="138"/>
    </row>
    <row r="673" spans="4:24" ht="12.75" customHeight="1" x14ac:dyDescent="0.25">
      <c r="D673" s="138"/>
      <c r="E673" s="138"/>
      <c r="L673" s="138"/>
      <c r="O673" s="138"/>
      <c r="R673" s="138"/>
      <c r="U673" s="138"/>
      <c r="X673" s="138"/>
    </row>
    <row r="674" spans="4:24" ht="12.75" customHeight="1" x14ac:dyDescent="0.25">
      <c r="D674" s="138"/>
      <c r="E674" s="138"/>
      <c r="L674" s="138"/>
      <c r="O674" s="138"/>
      <c r="R674" s="138"/>
      <c r="U674" s="138"/>
      <c r="X674" s="138"/>
    </row>
    <row r="675" spans="4:24" ht="12.75" customHeight="1" x14ac:dyDescent="0.25">
      <c r="D675" s="138"/>
      <c r="E675" s="138"/>
      <c r="L675" s="138"/>
      <c r="O675" s="138"/>
      <c r="R675" s="138"/>
      <c r="U675" s="138"/>
      <c r="X675" s="138"/>
    </row>
    <row r="676" spans="4:24" ht="12.75" customHeight="1" x14ac:dyDescent="0.25">
      <c r="D676" s="138"/>
      <c r="E676" s="138"/>
      <c r="L676" s="138"/>
      <c r="O676" s="138"/>
      <c r="R676" s="138"/>
      <c r="U676" s="138"/>
      <c r="X676" s="138"/>
    </row>
    <row r="677" spans="4:24" ht="12.75" customHeight="1" x14ac:dyDescent="0.25">
      <c r="D677" s="138"/>
      <c r="E677" s="138"/>
      <c r="L677" s="138"/>
      <c r="O677" s="138"/>
      <c r="R677" s="138"/>
      <c r="U677" s="138"/>
      <c r="X677" s="138"/>
    </row>
    <row r="678" spans="4:24" ht="12.75" customHeight="1" x14ac:dyDescent="0.25">
      <c r="D678" s="138"/>
      <c r="E678" s="138"/>
      <c r="L678" s="138"/>
      <c r="O678" s="138"/>
      <c r="R678" s="138"/>
      <c r="U678" s="138"/>
      <c r="X678" s="138"/>
    </row>
    <row r="679" spans="4:24" ht="12.75" customHeight="1" x14ac:dyDescent="0.25">
      <c r="D679" s="138"/>
      <c r="E679" s="138"/>
      <c r="L679" s="138"/>
      <c r="O679" s="138"/>
      <c r="R679" s="138"/>
      <c r="U679" s="138"/>
      <c r="X679" s="138"/>
    </row>
    <row r="680" spans="4:24" ht="12.75" customHeight="1" x14ac:dyDescent="0.25">
      <c r="D680" s="138"/>
      <c r="E680" s="138"/>
      <c r="L680" s="138"/>
      <c r="O680" s="138"/>
      <c r="R680" s="138"/>
      <c r="U680" s="138"/>
      <c r="X680" s="138"/>
    </row>
    <row r="681" spans="4:24" ht="12.75" customHeight="1" x14ac:dyDescent="0.25">
      <c r="D681" s="138"/>
      <c r="E681" s="138"/>
      <c r="L681" s="138"/>
      <c r="O681" s="138"/>
      <c r="R681" s="138"/>
      <c r="U681" s="138"/>
      <c r="X681" s="138"/>
    </row>
    <row r="682" spans="4:24" ht="12.75" customHeight="1" x14ac:dyDescent="0.25">
      <c r="D682" s="138"/>
      <c r="E682" s="138"/>
      <c r="L682" s="138"/>
      <c r="O682" s="138"/>
      <c r="R682" s="138"/>
      <c r="U682" s="138"/>
      <c r="X682" s="138"/>
    </row>
    <row r="683" spans="4:24" ht="12.75" customHeight="1" x14ac:dyDescent="0.25">
      <c r="D683" s="138"/>
      <c r="E683" s="138"/>
      <c r="L683" s="138"/>
      <c r="O683" s="138"/>
      <c r="R683" s="138"/>
      <c r="U683" s="138"/>
      <c r="X683" s="138"/>
    </row>
    <row r="684" spans="4:24" ht="12.75" customHeight="1" x14ac:dyDescent="0.25">
      <c r="D684" s="138"/>
      <c r="E684" s="138"/>
      <c r="L684" s="138"/>
      <c r="O684" s="138"/>
      <c r="R684" s="138"/>
      <c r="U684" s="138"/>
      <c r="X684" s="138"/>
    </row>
    <row r="685" spans="4:24" ht="12.75" customHeight="1" x14ac:dyDescent="0.25">
      <c r="D685" s="138"/>
      <c r="E685" s="138"/>
      <c r="L685" s="138"/>
      <c r="O685" s="138"/>
      <c r="R685" s="138"/>
      <c r="U685" s="138"/>
      <c r="X685" s="138"/>
    </row>
    <row r="686" spans="4:24" ht="12.75" customHeight="1" x14ac:dyDescent="0.25">
      <c r="D686" s="138"/>
      <c r="E686" s="138"/>
      <c r="L686" s="138"/>
      <c r="O686" s="138"/>
      <c r="R686" s="138"/>
      <c r="U686" s="138"/>
      <c r="X686" s="138"/>
    </row>
    <row r="687" spans="4:24" ht="12.75" customHeight="1" x14ac:dyDescent="0.25">
      <c r="D687" s="138"/>
      <c r="E687" s="138"/>
      <c r="L687" s="138"/>
      <c r="O687" s="138"/>
      <c r="R687" s="138"/>
      <c r="U687" s="138"/>
      <c r="X687" s="138"/>
    </row>
    <row r="688" spans="4:24" ht="12.75" customHeight="1" x14ac:dyDescent="0.25">
      <c r="D688" s="138"/>
      <c r="E688" s="138"/>
      <c r="L688" s="138"/>
      <c r="O688" s="138"/>
      <c r="R688" s="138"/>
      <c r="U688" s="138"/>
      <c r="X688" s="138"/>
    </row>
    <row r="689" spans="4:24" ht="12.75" customHeight="1" x14ac:dyDescent="0.25">
      <c r="D689" s="138"/>
      <c r="E689" s="138"/>
      <c r="L689" s="138"/>
      <c r="O689" s="138"/>
      <c r="R689" s="138"/>
      <c r="U689" s="138"/>
      <c r="X689" s="138"/>
    </row>
    <row r="690" spans="4:24" ht="12.75" customHeight="1" x14ac:dyDescent="0.25">
      <c r="D690" s="138"/>
      <c r="E690" s="138"/>
      <c r="L690" s="138"/>
      <c r="O690" s="138"/>
      <c r="R690" s="138"/>
      <c r="U690" s="138"/>
      <c r="X690" s="138"/>
    </row>
    <row r="691" spans="4:24" ht="12.75" customHeight="1" x14ac:dyDescent="0.25">
      <c r="D691" s="138"/>
      <c r="E691" s="138"/>
      <c r="L691" s="138"/>
      <c r="O691" s="138"/>
      <c r="R691" s="138"/>
      <c r="U691" s="138"/>
      <c r="X691" s="138"/>
    </row>
    <row r="692" spans="4:24" ht="12.75" customHeight="1" x14ac:dyDescent="0.25">
      <c r="D692" s="138"/>
      <c r="E692" s="138"/>
      <c r="L692" s="138"/>
      <c r="O692" s="138"/>
      <c r="R692" s="138"/>
      <c r="U692" s="138"/>
      <c r="X692" s="138"/>
    </row>
    <row r="693" spans="4:24" ht="12.75" customHeight="1" x14ac:dyDescent="0.25">
      <c r="D693" s="138"/>
      <c r="E693" s="138"/>
      <c r="L693" s="138"/>
      <c r="O693" s="138"/>
      <c r="R693" s="138"/>
      <c r="U693" s="138"/>
      <c r="X693" s="138"/>
    </row>
    <row r="694" spans="4:24" ht="12.75" customHeight="1" x14ac:dyDescent="0.25">
      <c r="D694" s="138"/>
      <c r="E694" s="138"/>
      <c r="L694" s="138"/>
      <c r="O694" s="138"/>
      <c r="R694" s="138"/>
      <c r="U694" s="138"/>
      <c r="X694" s="138"/>
    </row>
    <row r="695" spans="4:24" ht="12.75" customHeight="1" x14ac:dyDescent="0.25">
      <c r="D695" s="138"/>
      <c r="E695" s="138"/>
      <c r="L695" s="138"/>
      <c r="O695" s="138"/>
      <c r="R695" s="138"/>
      <c r="U695" s="138"/>
      <c r="X695" s="138"/>
    </row>
    <row r="696" spans="4:24" ht="12.75" customHeight="1" x14ac:dyDescent="0.25">
      <c r="D696" s="138"/>
      <c r="E696" s="138"/>
      <c r="L696" s="138"/>
      <c r="O696" s="138"/>
      <c r="R696" s="138"/>
      <c r="U696" s="138"/>
      <c r="X696" s="138"/>
    </row>
    <row r="697" spans="4:24" ht="12.75" customHeight="1" x14ac:dyDescent="0.25">
      <c r="D697" s="138"/>
      <c r="E697" s="138"/>
      <c r="L697" s="138"/>
      <c r="O697" s="138"/>
      <c r="R697" s="138"/>
      <c r="U697" s="138"/>
      <c r="X697" s="138"/>
    </row>
    <row r="698" spans="4:24" ht="12.75" customHeight="1" x14ac:dyDescent="0.25">
      <c r="D698" s="138"/>
      <c r="E698" s="138"/>
      <c r="L698" s="138"/>
      <c r="O698" s="138"/>
      <c r="R698" s="138"/>
      <c r="U698" s="138"/>
      <c r="X698" s="138"/>
    </row>
    <row r="699" spans="4:24" ht="12.75" customHeight="1" x14ac:dyDescent="0.25">
      <c r="D699" s="138"/>
      <c r="E699" s="138"/>
      <c r="L699" s="138"/>
      <c r="O699" s="138"/>
      <c r="R699" s="138"/>
      <c r="U699" s="138"/>
      <c r="X699" s="138"/>
    </row>
    <row r="700" spans="4:24" ht="12.75" customHeight="1" x14ac:dyDescent="0.25">
      <c r="D700" s="138"/>
      <c r="E700" s="138"/>
      <c r="L700" s="138"/>
      <c r="O700" s="138"/>
      <c r="R700" s="138"/>
      <c r="U700" s="138"/>
      <c r="X700" s="138"/>
    </row>
    <row r="701" spans="4:24" ht="12.75" customHeight="1" x14ac:dyDescent="0.25">
      <c r="D701" s="138"/>
      <c r="E701" s="138"/>
      <c r="L701" s="138"/>
      <c r="O701" s="138"/>
      <c r="R701" s="138"/>
      <c r="U701" s="138"/>
      <c r="X701" s="138"/>
    </row>
    <row r="702" spans="4:24" ht="12.75" customHeight="1" x14ac:dyDescent="0.25">
      <c r="D702" s="138"/>
      <c r="E702" s="138"/>
      <c r="L702" s="138"/>
      <c r="O702" s="138"/>
      <c r="R702" s="138"/>
      <c r="U702" s="138"/>
      <c r="X702" s="138"/>
    </row>
    <row r="703" spans="4:24" ht="12.75" customHeight="1" x14ac:dyDescent="0.25">
      <c r="D703" s="138"/>
      <c r="E703" s="138"/>
      <c r="L703" s="138"/>
      <c r="O703" s="138"/>
      <c r="R703" s="138"/>
      <c r="U703" s="138"/>
      <c r="X703" s="138"/>
    </row>
    <row r="704" spans="4:24" ht="12.75" customHeight="1" x14ac:dyDescent="0.25">
      <c r="D704" s="138"/>
      <c r="E704" s="138"/>
      <c r="L704" s="138"/>
      <c r="O704" s="138"/>
      <c r="R704" s="138"/>
      <c r="U704" s="138"/>
      <c r="X704" s="138"/>
    </row>
    <row r="705" spans="4:24" ht="12.75" customHeight="1" x14ac:dyDescent="0.25">
      <c r="D705" s="138"/>
      <c r="E705" s="138"/>
      <c r="L705" s="138"/>
      <c r="O705" s="138"/>
      <c r="R705" s="138"/>
      <c r="U705" s="138"/>
      <c r="X705" s="138"/>
    </row>
    <row r="706" spans="4:24" ht="12.75" customHeight="1" x14ac:dyDescent="0.25">
      <c r="D706" s="138"/>
      <c r="E706" s="138"/>
      <c r="L706" s="138"/>
      <c r="O706" s="138"/>
      <c r="R706" s="138"/>
      <c r="U706" s="138"/>
      <c r="X706" s="138"/>
    </row>
    <row r="707" spans="4:24" ht="12.75" customHeight="1" x14ac:dyDescent="0.25">
      <c r="D707" s="138"/>
      <c r="E707" s="138"/>
      <c r="L707" s="138"/>
      <c r="O707" s="138"/>
      <c r="R707" s="138"/>
      <c r="U707" s="138"/>
      <c r="X707" s="138"/>
    </row>
    <row r="708" spans="4:24" ht="12.75" customHeight="1" x14ac:dyDescent="0.25">
      <c r="D708" s="138"/>
      <c r="E708" s="138"/>
      <c r="L708" s="138"/>
      <c r="O708" s="138"/>
      <c r="R708" s="138"/>
      <c r="U708" s="138"/>
      <c r="X708" s="138"/>
    </row>
    <row r="709" spans="4:24" ht="12.75" customHeight="1" x14ac:dyDescent="0.25">
      <c r="D709" s="138"/>
      <c r="E709" s="138"/>
      <c r="L709" s="138"/>
      <c r="O709" s="138"/>
      <c r="R709" s="138"/>
      <c r="U709" s="138"/>
      <c r="X709" s="138"/>
    </row>
    <row r="710" spans="4:24" ht="12.75" customHeight="1" x14ac:dyDescent="0.25">
      <c r="D710" s="138"/>
      <c r="E710" s="138"/>
      <c r="L710" s="138"/>
      <c r="O710" s="138"/>
      <c r="R710" s="138"/>
      <c r="U710" s="138"/>
      <c r="X710" s="138"/>
    </row>
    <row r="711" spans="4:24" ht="12.75" customHeight="1" x14ac:dyDescent="0.25">
      <c r="D711" s="138"/>
      <c r="E711" s="138"/>
      <c r="L711" s="138"/>
      <c r="O711" s="138"/>
      <c r="R711" s="138"/>
      <c r="U711" s="138"/>
      <c r="X711" s="138"/>
    </row>
    <row r="712" spans="4:24" ht="12.75" customHeight="1" x14ac:dyDescent="0.25">
      <c r="D712" s="138"/>
      <c r="E712" s="138"/>
      <c r="L712" s="138"/>
      <c r="O712" s="138"/>
      <c r="R712" s="138"/>
      <c r="U712" s="138"/>
      <c r="X712" s="138"/>
    </row>
    <row r="713" spans="4:24" ht="12.75" customHeight="1" x14ac:dyDescent="0.25">
      <c r="D713" s="138"/>
      <c r="E713" s="138"/>
      <c r="L713" s="138"/>
      <c r="O713" s="138"/>
      <c r="R713" s="138"/>
      <c r="U713" s="138"/>
      <c r="X713" s="138"/>
    </row>
    <row r="714" spans="4:24" ht="12.75" customHeight="1" x14ac:dyDescent="0.25">
      <c r="D714" s="138"/>
      <c r="E714" s="138"/>
      <c r="L714" s="138"/>
      <c r="O714" s="138"/>
      <c r="R714" s="138"/>
      <c r="U714" s="138"/>
      <c r="X714" s="138"/>
    </row>
    <row r="715" spans="4:24" ht="12.75" customHeight="1" x14ac:dyDescent="0.25">
      <c r="D715" s="138"/>
      <c r="E715" s="138"/>
      <c r="L715" s="138"/>
      <c r="O715" s="138"/>
      <c r="R715" s="138"/>
      <c r="U715" s="138"/>
      <c r="X715" s="138"/>
    </row>
    <row r="716" spans="4:24" ht="12.75" customHeight="1" x14ac:dyDescent="0.25">
      <c r="D716" s="138"/>
      <c r="E716" s="138"/>
      <c r="L716" s="138"/>
      <c r="O716" s="138"/>
      <c r="R716" s="138"/>
      <c r="U716" s="138"/>
      <c r="X716" s="138"/>
    </row>
    <row r="717" spans="4:24" ht="12.75" customHeight="1" x14ac:dyDescent="0.25">
      <c r="D717" s="138"/>
      <c r="E717" s="138"/>
      <c r="L717" s="138"/>
      <c r="O717" s="138"/>
      <c r="R717" s="138"/>
      <c r="U717" s="138"/>
      <c r="X717" s="138"/>
    </row>
    <row r="718" spans="4:24" ht="12.75" customHeight="1" x14ac:dyDescent="0.25">
      <c r="D718" s="138"/>
      <c r="E718" s="138"/>
      <c r="L718" s="138"/>
      <c r="O718" s="138"/>
      <c r="R718" s="138"/>
      <c r="U718" s="138"/>
      <c r="X718" s="138"/>
    </row>
    <row r="719" spans="4:24" ht="12.75" customHeight="1" x14ac:dyDescent="0.25">
      <c r="D719" s="138"/>
      <c r="E719" s="138"/>
      <c r="L719" s="138"/>
      <c r="O719" s="138"/>
      <c r="R719" s="138"/>
      <c r="U719" s="138"/>
      <c r="X719" s="138"/>
    </row>
    <row r="720" spans="4:24" ht="12.75" customHeight="1" x14ac:dyDescent="0.25">
      <c r="D720" s="138"/>
      <c r="E720" s="138"/>
      <c r="L720" s="138"/>
      <c r="O720" s="138"/>
      <c r="R720" s="138"/>
      <c r="U720" s="138"/>
      <c r="X720" s="138"/>
    </row>
    <row r="721" spans="4:24" ht="12.75" customHeight="1" x14ac:dyDescent="0.25">
      <c r="D721" s="138"/>
      <c r="E721" s="138"/>
      <c r="L721" s="138"/>
      <c r="O721" s="138"/>
      <c r="R721" s="138"/>
      <c r="U721" s="138"/>
      <c r="X721" s="138"/>
    </row>
    <row r="722" spans="4:24" ht="12.75" customHeight="1" x14ac:dyDescent="0.25">
      <c r="D722" s="138"/>
      <c r="E722" s="138"/>
      <c r="L722" s="138"/>
      <c r="O722" s="138"/>
      <c r="R722" s="138"/>
      <c r="U722" s="138"/>
      <c r="X722" s="138"/>
    </row>
    <row r="723" spans="4:24" ht="12.75" customHeight="1" x14ac:dyDescent="0.25">
      <c r="D723" s="138"/>
      <c r="E723" s="138"/>
      <c r="L723" s="138"/>
      <c r="O723" s="138"/>
      <c r="R723" s="138"/>
      <c r="U723" s="138"/>
      <c r="X723" s="138"/>
    </row>
    <row r="724" spans="4:24" ht="12.75" customHeight="1" x14ac:dyDescent="0.25">
      <c r="D724" s="138"/>
      <c r="E724" s="138"/>
      <c r="L724" s="138"/>
      <c r="O724" s="138"/>
      <c r="R724" s="138"/>
      <c r="U724" s="138"/>
      <c r="X724" s="138"/>
    </row>
    <row r="725" spans="4:24" ht="12.75" customHeight="1" x14ac:dyDescent="0.25">
      <c r="D725" s="138"/>
      <c r="E725" s="138"/>
      <c r="L725" s="138"/>
      <c r="O725" s="138"/>
      <c r="R725" s="138"/>
      <c r="U725" s="138"/>
      <c r="X725" s="138"/>
    </row>
    <row r="726" spans="4:24" ht="12.75" customHeight="1" x14ac:dyDescent="0.25">
      <c r="D726" s="138"/>
      <c r="E726" s="138"/>
      <c r="L726" s="138"/>
      <c r="O726" s="138"/>
      <c r="R726" s="138"/>
      <c r="U726" s="138"/>
      <c r="X726" s="138"/>
    </row>
    <row r="727" spans="4:24" ht="12.75" customHeight="1" x14ac:dyDescent="0.25">
      <c r="D727" s="138"/>
      <c r="E727" s="138"/>
      <c r="L727" s="138"/>
      <c r="O727" s="138"/>
      <c r="R727" s="138"/>
      <c r="U727" s="138"/>
      <c r="X727" s="138"/>
    </row>
    <row r="728" spans="4:24" ht="12.75" customHeight="1" x14ac:dyDescent="0.25">
      <c r="D728" s="138"/>
      <c r="E728" s="138"/>
      <c r="L728" s="138"/>
      <c r="O728" s="138"/>
      <c r="R728" s="138"/>
      <c r="U728" s="138"/>
      <c r="X728" s="138"/>
    </row>
    <row r="729" spans="4:24" ht="12.75" customHeight="1" x14ac:dyDescent="0.25">
      <c r="D729" s="138"/>
      <c r="E729" s="138"/>
      <c r="L729" s="138"/>
      <c r="O729" s="138"/>
      <c r="R729" s="138"/>
      <c r="U729" s="138"/>
      <c r="X729" s="138"/>
    </row>
    <row r="730" spans="4:24" ht="12.75" customHeight="1" x14ac:dyDescent="0.25">
      <c r="D730" s="138"/>
      <c r="E730" s="138"/>
      <c r="L730" s="138"/>
      <c r="O730" s="138"/>
      <c r="R730" s="138"/>
      <c r="U730" s="138"/>
      <c r="X730" s="138"/>
    </row>
    <row r="731" spans="4:24" ht="12.75" customHeight="1" x14ac:dyDescent="0.25">
      <c r="D731" s="138"/>
      <c r="E731" s="138"/>
      <c r="L731" s="138"/>
      <c r="O731" s="138"/>
      <c r="R731" s="138"/>
      <c r="U731" s="138"/>
      <c r="X731" s="138"/>
    </row>
    <row r="732" spans="4:24" ht="12.75" customHeight="1" x14ac:dyDescent="0.25">
      <c r="D732" s="138"/>
      <c r="E732" s="138"/>
      <c r="L732" s="138"/>
      <c r="O732" s="138"/>
      <c r="R732" s="138"/>
      <c r="U732" s="138"/>
      <c r="X732" s="138"/>
    </row>
    <row r="733" spans="4:24" ht="12.75" customHeight="1" x14ac:dyDescent="0.25">
      <c r="D733" s="138"/>
      <c r="E733" s="138"/>
      <c r="L733" s="138"/>
      <c r="O733" s="138"/>
      <c r="R733" s="138"/>
      <c r="U733" s="138"/>
      <c r="X733" s="138"/>
    </row>
    <row r="734" spans="4:24" ht="12.75" customHeight="1" x14ac:dyDescent="0.25">
      <c r="D734" s="138"/>
      <c r="E734" s="138"/>
      <c r="L734" s="138"/>
      <c r="O734" s="138"/>
      <c r="R734" s="138"/>
      <c r="U734" s="138"/>
      <c r="X734" s="138"/>
    </row>
    <row r="735" spans="4:24" ht="12.75" customHeight="1" x14ac:dyDescent="0.25">
      <c r="D735" s="138"/>
      <c r="E735" s="138"/>
      <c r="L735" s="138"/>
      <c r="O735" s="138"/>
      <c r="R735" s="138"/>
      <c r="U735" s="138"/>
      <c r="X735" s="138"/>
    </row>
    <row r="736" spans="4:24" ht="12.75" customHeight="1" x14ac:dyDescent="0.25">
      <c r="D736" s="138"/>
      <c r="E736" s="138"/>
      <c r="L736" s="138"/>
      <c r="O736" s="138"/>
      <c r="R736" s="138"/>
      <c r="U736" s="138"/>
      <c r="X736" s="138"/>
    </row>
    <row r="737" spans="4:24" ht="12.75" customHeight="1" x14ac:dyDescent="0.25">
      <c r="D737" s="138"/>
      <c r="E737" s="138"/>
      <c r="L737" s="138"/>
      <c r="O737" s="138"/>
      <c r="R737" s="138"/>
      <c r="U737" s="138"/>
      <c r="X737" s="138"/>
    </row>
    <row r="738" spans="4:24" ht="12.75" customHeight="1" x14ac:dyDescent="0.25">
      <c r="D738" s="138"/>
      <c r="E738" s="138"/>
      <c r="L738" s="138"/>
      <c r="O738" s="138"/>
      <c r="R738" s="138"/>
      <c r="U738" s="138"/>
      <c r="X738" s="138"/>
    </row>
    <row r="739" spans="4:24" ht="12.75" customHeight="1" x14ac:dyDescent="0.25">
      <c r="D739" s="138"/>
      <c r="E739" s="138"/>
      <c r="L739" s="138"/>
      <c r="O739" s="138"/>
      <c r="R739" s="138"/>
      <c r="U739" s="138"/>
      <c r="X739" s="138"/>
    </row>
    <row r="740" spans="4:24" ht="12.75" customHeight="1" x14ac:dyDescent="0.25">
      <c r="D740" s="138"/>
      <c r="E740" s="138"/>
      <c r="L740" s="138"/>
      <c r="O740" s="138"/>
      <c r="R740" s="138"/>
      <c r="U740" s="138"/>
      <c r="X740" s="138"/>
    </row>
    <row r="741" spans="4:24" ht="12.75" customHeight="1" x14ac:dyDescent="0.25">
      <c r="D741" s="138"/>
      <c r="E741" s="138"/>
      <c r="L741" s="138"/>
      <c r="O741" s="138"/>
      <c r="R741" s="138"/>
      <c r="U741" s="138"/>
      <c r="X741" s="138"/>
    </row>
    <row r="742" spans="4:24" ht="12.75" customHeight="1" x14ac:dyDescent="0.25">
      <c r="D742" s="138"/>
      <c r="E742" s="138"/>
      <c r="L742" s="138"/>
      <c r="O742" s="138"/>
      <c r="R742" s="138"/>
      <c r="U742" s="138"/>
      <c r="X742" s="138"/>
    </row>
    <row r="743" spans="4:24" ht="12.75" customHeight="1" x14ac:dyDescent="0.25">
      <c r="D743" s="138"/>
      <c r="E743" s="138"/>
      <c r="L743" s="138"/>
      <c r="O743" s="138"/>
      <c r="R743" s="138"/>
      <c r="U743" s="138"/>
      <c r="X743" s="138"/>
    </row>
    <row r="744" spans="4:24" ht="12.75" customHeight="1" x14ac:dyDescent="0.25">
      <c r="D744" s="138"/>
      <c r="E744" s="138"/>
      <c r="L744" s="138"/>
      <c r="O744" s="138"/>
      <c r="R744" s="138"/>
      <c r="U744" s="138"/>
      <c r="X744" s="138"/>
    </row>
    <row r="745" spans="4:24" ht="12.75" customHeight="1" x14ac:dyDescent="0.25">
      <c r="D745" s="138"/>
      <c r="E745" s="138"/>
      <c r="L745" s="138"/>
      <c r="O745" s="138"/>
      <c r="R745" s="138"/>
      <c r="U745" s="138"/>
      <c r="X745" s="138"/>
    </row>
    <row r="746" spans="4:24" ht="12.75" customHeight="1" x14ac:dyDescent="0.25">
      <c r="D746" s="138"/>
      <c r="E746" s="138"/>
      <c r="L746" s="138"/>
      <c r="O746" s="138"/>
      <c r="R746" s="138"/>
      <c r="U746" s="138"/>
      <c r="X746" s="138"/>
    </row>
    <row r="747" spans="4:24" ht="12.75" customHeight="1" x14ac:dyDescent="0.25">
      <c r="D747" s="138"/>
      <c r="E747" s="138"/>
      <c r="L747" s="138"/>
      <c r="O747" s="138"/>
      <c r="R747" s="138"/>
      <c r="U747" s="138"/>
      <c r="X747" s="138"/>
    </row>
    <row r="748" spans="4:24" ht="12.75" customHeight="1" x14ac:dyDescent="0.25">
      <c r="D748" s="138"/>
      <c r="E748" s="138"/>
      <c r="L748" s="138"/>
      <c r="O748" s="138"/>
      <c r="R748" s="138"/>
      <c r="U748" s="138"/>
      <c r="X748" s="138"/>
    </row>
    <row r="749" spans="4:24" ht="12.75" customHeight="1" x14ac:dyDescent="0.25">
      <c r="D749" s="138"/>
      <c r="E749" s="138"/>
      <c r="L749" s="138"/>
      <c r="O749" s="138"/>
      <c r="R749" s="138"/>
      <c r="U749" s="138"/>
      <c r="X749" s="138"/>
    </row>
    <row r="750" spans="4:24" ht="12.75" customHeight="1" x14ac:dyDescent="0.25">
      <c r="D750" s="138"/>
      <c r="E750" s="138"/>
      <c r="L750" s="138"/>
      <c r="O750" s="138"/>
      <c r="R750" s="138"/>
      <c r="U750" s="138"/>
      <c r="X750" s="138"/>
    </row>
    <row r="751" spans="4:24" ht="12.75" customHeight="1" x14ac:dyDescent="0.25">
      <c r="D751" s="138"/>
      <c r="E751" s="138"/>
      <c r="L751" s="138"/>
      <c r="O751" s="138"/>
      <c r="R751" s="138"/>
      <c r="U751" s="138"/>
      <c r="X751" s="138"/>
    </row>
    <row r="752" spans="4:24" ht="12.75" customHeight="1" x14ac:dyDescent="0.25">
      <c r="D752" s="138"/>
      <c r="E752" s="138"/>
      <c r="L752" s="138"/>
      <c r="O752" s="138"/>
      <c r="R752" s="138"/>
      <c r="U752" s="138"/>
      <c r="X752" s="138"/>
    </row>
    <row r="753" spans="4:24" ht="12.75" customHeight="1" x14ac:dyDescent="0.25">
      <c r="D753" s="138"/>
      <c r="E753" s="138"/>
      <c r="L753" s="138"/>
      <c r="O753" s="138"/>
      <c r="R753" s="138"/>
      <c r="U753" s="138"/>
      <c r="X753" s="138"/>
    </row>
    <row r="754" spans="4:24" ht="12.75" customHeight="1" x14ac:dyDescent="0.25">
      <c r="D754" s="138"/>
      <c r="E754" s="138"/>
      <c r="L754" s="138"/>
      <c r="O754" s="138"/>
      <c r="R754" s="138"/>
      <c r="U754" s="138"/>
      <c r="X754" s="138"/>
    </row>
    <row r="755" spans="4:24" ht="12.75" customHeight="1" x14ac:dyDescent="0.25">
      <c r="D755" s="138"/>
      <c r="E755" s="138"/>
      <c r="L755" s="138"/>
      <c r="O755" s="138"/>
      <c r="R755" s="138"/>
      <c r="U755" s="138"/>
      <c r="X755" s="138"/>
    </row>
    <row r="756" spans="4:24" ht="12.75" customHeight="1" x14ac:dyDescent="0.25">
      <c r="D756" s="138"/>
      <c r="E756" s="138"/>
      <c r="L756" s="138"/>
      <c r="O756" s="138"/>
      <c r="R756" s="138"/>
      <c r="U756" s="138"/>
      <c r="X756" s="138"/>
    </row>
    <row r="757" spans="4:24" ht="12.75" customHeight="1" x14ac:dyDescent="0.25">
      <c r="D757" s="138"/>
      <c r="E757" s="138"/>
      <c r="L757" s="138"/>
      <c r="O757" s="138"/>
      <c r="R757" s="138"/>
      <c r="U757" s="138"/>
      <c r="X757" s="138"/>
    </row>
    <row r="758" spans="4:24" ht="12.75" customHeight="1" x14ac:dyDescent="0.25">
      <c r="D758" s="138"/>
      <c r="E758" s="138"/>
      <c r="L758" s="138"/>
      <c r="O758" s="138"/>
      <c r="R758" s="138"/>
      <c r="U758" s="138"/>
      <c r="X758" s="138"/>
    </row>
    <row r="759" spans="4:24" ht="12.75" customHeight="1" x14ac:dyDescent="0.25">
      <c r="D759" s="138"/>
      <c r="E759" s="138"/>
      <c r="L759" s="138"/>
      <c r="O759" s="138"/>
      <c r="R759" s="138"/>
      <c r="U759" s="138"/>
      <c r="X759" s="138"/>
    </row>
    <row r="760" spans="4:24" ht="12.75" customHeight="1" x14ac:dyDescent="0.25">
      <c r="D760" s="138"/>
      <c r="E760" s="138"/>
      <c r="L760" s="138"/>
      <c r="O760" s="138"/>
      <c r="R760" s="138"/>
      <c r="U760" s="138"/>
      <c r="X760" s="138"/>
    </row>
    <row r="761" spans="4:24" ht="12.75" customHeight="1" x14ac:dyDescent="0.25">
      <c r="D761" s="138"/>
      <c r="E761" s="138"/>
      <c r="L761" s="138"/>
      <c r="O761" s="138"/>
      <c r="R761" s="138"/>
      <c r="U761" s="138"/>
      <c r="X761" s="138"/>
    </row>
    <row r="762" spans="4:24" ht="12.75" customHeight="1" x14ac:dyDescent="0.25">
      <c r="D762" s="138"/>
      <c r="E762" s="138"/>
      <c r="L762" s="138"/>
      <c r="O762" s="138"/>
      <c r="R762" s="138"/>
      <c r="U762" s="138"/>
      <c r="X762" s="138"/>
    </row>
    <row r="763" spans="4:24" ht="12.75" customHeight="1" x14ac:dyDescent="0.25">
      <c r="D763" s="138"/>
      <c r="E763" s="138"/>
      <c r="L763" s="138"/>
      <c r="O763" s="138"/>
      <c r="R763" s="138"/>
      <c r="U763" s="138"/>
      <c r="X763" s="138"/>
    </row>
    <row r="764" spans="4:24" ht="12.75" customHeight="1" x14ac:dyDescent="0.25">
      <c r="D764" s="138"/>
      <c r="E764" s="138"/>
      <c r="L764" s="138"/>
      <c r="O764" s="138"/>
      <c r="R764" s="138"/>
      <c r="U764" s="138"/>
      <c r="X764" s="138"/>
    </row>
    <row r="765" spans="4:24" ht="12.75" customHeight="1" x14ac:dyDescent="0.25">
      <c r="D765" s="138"/>
      <c r="E765" s="138"/>
      <c r="L765" s="138"/>
      <c r="O765" s="138"/>
      <c r="R765" s="138"/>
      <c r="U765" s="138"/>
      <c r="X765" s="138"/>
    </row>
    <row r="766" spans="4:24" ht="12.75" customHeight="1" x14ac:dyDescent="0.25">
      <c r="D766" s="138"/>
      <c r="E766" s="138"/>
      <c r="L766" s="138"/>
      <c r="O766" s="138"/>
      <c r="R766" s="138"/>
      <c r="U766" s="138"/>
      <c r="X766" s="138"/>
    </row>
    <row r="767" spans="4:24" ht="12.75" customHeight="1" x14ac:dyDescent="0.25">
      <c r="D767" s="138"/>
      <c r="E767" s="138"/>
      <c r="L767" s="138"/>
      <c r="O767" s="138"/>
      <c r="R767" s="138"/>
      <c r="U767" s="138"/>
      <c r="X767" s="138"/>
    </row>
    <row r="768" spans="4:24" ht="12.75" customHeight="1" x14ac:dyDescent="0.25">
      <c r="D768" s="138"/>
      <c r="E768" s="138"/>
      <c r="L768" s="138"/>
      <c r="O768" s="138"/>
      <c r="R768" s="138"/>
      <c r="U768" s="138"/>
      <c r="X768" s="138"/>
    </row>
    <row r="769" spans="4:24" ht="12.75" customHeight="1" x14ac:dyDescent="0.25">
      <c r="D769" s="138"/>
      <c r="E769" s="138"/>
      <c r="L769" s="138"/>
      <c r="O769" s="138"/>
      <c r="R769" s="138"/>
      <c r="U769" s="138"/>
      <c r="X769" s="138"/>
    </row>
    <row r="770" spans="4:24" ht="12.75" customHeight="1" x14ac:dyDescent="0.25">
      <c r="D770" s="138"/>
      <c r="E770" s="138"/>
      <c r="L770" s="138"/>
      <c r="O770" s="138"/>
      <c r="R770" s="138"/>
      <c r="U770" s="138"/>
      <c r="X770" s="138"/>
    </row>
    <row r="771" spans="4:24" ht="12.75" customHeight="1" x14ac:dyDescent="0.25">
      <c r="D771" s="138"/>
      <c r="E771" s="138"/>
      <c r="L771" s="138"/>
      <c r="O771" s="138"/>
      <c r="R771" s="138"/>
      <c r="U771" s="138"/>
      <c r="X771" s="138"/>
    </row>
    <row r="772" spans="4:24" ht="12.75" customHeight="1" x14ac:dyDescent="0.25">
      <c r="D772" s="138"/>
      <c r="E772" s="138"/>
      <c r="L772" s="138"/>
      <c r="O772" s="138"/>
      <c r="R772" s="138"/>
      <c r="U772" s="138"/>
      <c r="X772" s="138"/>
    </row>
    <row r="773" spans="4:24" ht="12.75" customHeight="1" x14ac:dyDescent="0.25">
      <c r="D773" s="138"/>
      <c r="E773" s="138"/>
      <c r="L773" s="138"/>
      <c r="O773" s="138"/>
      <c r="R773" s="138"/>
      <c r="U773" s="138"/>
      <c r="X773" s="138"/>
    </row>
    <row r="774" spans="4:24" ht="12.75" customHeight="1" x14ac:dyDescent="0.25">
      <c r="D774" s="138"/>
      <c r="E774" s="138"/>
      <c r="L774" s="138"/>
      <c r="O774" s="138"/>
      <c r="R774" s="138"/>
      <c r="U774" s="138"/>
      <c r="X774" s="138"/>
    </row>
    <row r="775" spans="4:24" ht="12.75" customHeight="1" x14ac:dyDescent="0.25">
      <c r="D775" s="138"/>
      <c r="E775" s="138"/>
      <c r="L775" s="138"/>
      <c r="O775" s="138"/>
      <c r="R775" s="138"/>
      <c r="U775" s="138"/>
      <c r="X775" s="138"/>
    </row>
    <row r="776" spans="4:24" ht="12.75" customHeight="1" x14ac:dyDescent="0.25">
      <c r="D776" s="138"/>
      <c r="E776" s="138"/>
      <c r="L776" s="138"/>
      <c r="O776" s="138"/>
      <c r="R776" s="138"/>
      <c r="U776" s="138"/>
      <c r="X776" s="138"/>
    </row>
    <row r="777" spans="4:24" ht="12.75" customHeight="1" x14ac:dyDescent="0.25">
      <c r="D777" s="138"/>
      <c r="E777" s="138"/>
      <c r="L777" s="138"/>
      <c r="O777" s="138"/>
      <c r="R777" s="138"/>
      <c r="U777" s="138"/>
      <c r="X777" s="138"/>
    </row>
    <row r="778" spans="4:24" ht="12.75" customHeight="1" x14ac:dyDescent="0.25">
      <c r="D778" s="138"/>
      <c r="E778" s="138"/>
      <c r="L778" s="138"/>
      <c r="O778" s="138"/>
      <c r="R778" s="138"/>
      <c r="U778" s="138"/>
      <c r="X778" s="138"/>
    </row>
    <row r="779" spans="4:24" ht="12.75" customHeight="1" x14ac:dyDescent="0.25">
      <c r="D779" s="138"/>
      <c r="E779" s="138"/>
      <c r="L779" s="138"/>
      <c r="O779" s="138"/>
      <c r="R779" s="138"/>
      <c r="U779" s="138"/>
      <c r="X779" s="138"/>
    </row>
    <row r="780" spans="4:24" ht="12.75" customHeight="1" x14ac:dyDescent="0.25">
      <c r="D780" s="138"/>
      <c r="E780" s="138"/>
      <c r="L780" s="138"/>
      <c r="O780" s="138"/>
      <c r="R780" s="138"/>
      <c r="U780" s="138"/>
      <c r="X780" s="138"/>
    </row>
    <row r="781" spans="4:24" ht="12.75" customHeight="1" x14ac:dyDescent="0.25">
      <c r="D781" s="138"/>
      <c r="E781" s="138"/>
      <c r="L781" s="138"/>
      <c r="O781" s="138"/>
      <c r="R781" s="138"/>
      <c r="U781" s="138"/>
      <c r="X781" s="138"/>
    </row>
    <row r="782" spans="4:24" ht="12.75" customHeight="1" x14ac:dyDescent="0.25">
      <c r="D782" s="138"/>
      <c r="E782" s="138"/>
      <c r="L782" s="138"/>
      <c r="O782" s="138"/>
      <c r="R782" s="138"/>
      <c r="U782" s="138"/>
      <c r="X782" s="138"/>
    </row>
    <row r="783" spans="4:24" ht="12.75" customHeight="1" x14ac:dyDescent="0.25">
      <c r="D783" s="138"/>
      <c r="E783" s="138"/>
      <c r="L783" s="138"/>
      <c r="O783" s="138"/>
      <c r="R783" s="138"/>
      <c r="U783" s="138"/>
      <c r="X783" s="138"/>
    </row>
    <row r="784" spans="4:24" ht="12.75" customHeight="1" x14ac:dyDescent="0.25">
      <c r="D784" s="138"/>
      <c r="E784" s="138"/>
      <c r="L784" s="138"/>
      <c r="O784" s="138"/>
      <c r="R784" s="138"/>
      <c r="U784" s="138"/>
      <c r="X784" s="138"/>
    </row>
    <row r="785" spans="4:24" ht="12.75" customHeight="1" x14ac:dyDescent="0.25">
      <c r="D785" s="138"/>
      <c r="E785" s="138"/>
      <c r="L785" s="138"/>
      <c r="O785" s="138"/>
      <c r="R785" s="138"/>
      <c r="U785" s="138"/>
      <c r="X785" s="138"/>
    </row>
    <row r="786" spans="4:24" ht="12.75" customHeight="1" x14ac:dyDescent="0.25">
      <c r="D786" s="138"/>
      <c r="E786" s="138"/>
      <c r="L786" s="138"/>
      <c r="O786" s="138"/>
      <c r="R786" s="138"/>
      <c r="U786" s="138"/>
      <c r="X786" s="138"/>
    </row>
    <row r="787" spans="4:24" ht="12.75" customHeight="1" x14ac:dyDescent="0.25">
      <c r="D787" s="138"/>
      <c r="E787" s="138"/>
      <c r="L787" s="138"/>
      <c r="O787" s="138"/>
      <c r="R787" s="138"/>
      <c r="U787" s="138"/>
      <c r="X787" s="138"/>
    </row>
    <row r="788" spans="4:24" ht="12.75" customHeight="1" x14ac:dyDescent="0.25">
      <c r="D788" s="138"/>
      <c r="E788" s="138"/>
      <c r="L788" s="138"/>
      <c r="O788" s="138"/>
      <c r="R788" s="138"/>
      <c r="U788" s="138"/>
      <c r="X788" s="138"/>
    </row>
    <row r="789" spans="4:24" ht="12.75" customHeight="1" x14ac:dyDescent="0.25">
      <c r="D789" s="138"/>
      <c r="E789" s="138"/>
      <c r="L789" s="138"/>
      <c r="O789" s="138"/>
      <c r="R789" s="138"/>
      <c r="U789" s="138"/>
      <c r="X789" s="138"/>
    </row>
    <row r="790" spans="4:24" ht="12.75" customHeight="1" x14ac:dyDescent="0.25">
      <c r="D790" s="138"/>
      <c r="E790" s="138"/>
      <c r="L790" s="138"/>
      <c r="O790" s="138"/>
      <c r="R790" s="138"/>
      <c r="U790" s="138"/>
      <c r="X790" s="138"/>
    </row>
    <row r="791" spans="4:24" ht="12.75" customHeight="1" x14ac:dyDescent="0.25">
      <c r="D791" s="138"/>
      <c r="E791" s="138"/>
      <c r="L791" s="138"/>
      <c r="O791" s="138"/>
      <c r="R791" s="138"/>
      <c r="U791" s="138"/>
      <c r="X791" s="138"/>
    </row>
    <row r="792" spans="4:24" ht="12.75" customHeight="1" x14ac:dyDescent="0.25">
      <c r="D792" s="138"/>
      <c r="E792" s="138"/>
      <c r="L792" s="138"/>
      <c r="O792" s="138"/>
      <c r="R792" s="138"/>
      <c r="U792" s="138"/>
      <c r="X792" s="138"/>
    </row>
    <row r="793" spans="4:24" ht="12.75" customHeight="1" x14ac:dyDescent="0.25">
      <c r="D793" s="138"/>
      <c r="E793" s="138"/>
      <c r="L793" s="138"/>
      <c r="O793" s="138"/>
      <c r="R793" s="138"/>
      <c r="U793" s="138"/>
      <c r="X793" s="138"/>
    </row>
    <row r="794" spans="4:24" ht="12.75" customHeight="1" x14ac:dyDescent="0.25">
      <c r="D794" s="138"/>
      <c r="E794" s="138"/>
      <c r="L794" s="138"/>
      <c r="O794" s="138"/>
      <c r="R794" s="138"/>
      <c r="U794" s="138"/>
      <c r="X794" s="138"/>
    </row>
    <row r="795" spans="4:24" ht="12.75" customHeight="1" x14ac:dyDescent="0.25">
      <c r="D795" s="138"/>
      <c r="E795" s="138"/>
      <c r="L795" s="138"/>
      <c r="O795" s="138"/>
      <c r="R795" s="138"/>
      <c r="U795" s="138"/>
      <c r="X795" s="138"/>
    </row>
    <row r="796" spans="4:24" ht="12.75" customHeight="1" x14ac:dyDescent="0.25">
      <c r="D796" s="138"/>
      <c r="E796" s="138"/>
      <c r="L796" s="138"/>
      <c r="O796" s="138"/>
      <c r="R796" s="138"/>
      <c r="U796" s="138"/>
      <c r="X796" s="138"/>
    </row>
    <row r="797" spans="4:24" ht="12.75" customHeight="1" x14ac:dyDescent="0.25">
      <c r="D797" s="138"/>
      <c r="E797" s="138"/>
      <c r="L797" s="138"/>
      <c r="O797" s="138"/>
      <c r="R797" s="138"/>
      <c r="U797" s="138"/>
      <c r="X797" s="138"/>
    </row>
    <row r="798" spans="4:24" ht="12.75" customHeight="1" x14ac:dyDescent="0.25">
      <c r="D798" s="138"/>
      <c r="E798" s="138"/>
      <c r="L798" s="138"/>
      <c r="O798" s="138"/>
      <c r="R798" s="138"/>
      <c r="U798" s="138"/>
      <c r="X798" s="138"/>
    </row>
    <row r="799" spans="4:24" ht="12.75" customHeight="1" x14ac:dyDescent="0.25">
      <c r="D799" s="138"/>
      <c r="E799" s="138"/>
      <c r="L799" s="138"/>
      <c r="O799" s="138"/>
      <c r="R799" s="138"/>
      <c r="U799" s="138"/>
      <c r="X799" s="138"/>
    </row>
    <row r="800" spans="4:24" ht="12.75" customHeight="1" x14ac:dyDescent="0.25">
      <c r="D800" s="138"/>
      <c r="E800" s="138"/>
      <c r="L800" s="138"/>
      <c r="O800" s="138"/>
      <c r="R800" s="138"/>
      <c r="U800" s="138"/>
      <c r="X800" s="138"/>
    </row>
    <row r="801" spans="4:24" ht="12.75" customHeight="1" x14ac:dyDescent="0.25">
      <c r="D801" s="138"/>
      <c r="E801" s="138"/>
      <c r="L801" s="138"/>
      <c r="O801" s="138"/>
      <c r="R801" s="138"/>
      <c r="U801" s="138"/>
      <c r="X801" s="138"/>
    </row>
    <row r="802" spans="4:24" ht="12.75" customHeight="1" x14ac:dyDescent="0.25">
      <c r="D802" s="138"/>
      <c r="E802" s="138"/>
      <c r="L802" s="138"/>
      <c r="O802" s="138"/>
      <c r="R802" s="138"/>
      <c r="U802" s="138"/>
      <c r="X802" s="138"/>
    </row>
    <row r="803" spans="4:24" ht="12.75" customHeight="1" x14ac:dyDescent="0.25">
      <c r="D803" s="138"/>
      <c r="E803" s="138"/>
      <c r="L803" s="138"/>
      <c r="O803" s="138"/>
      <c r="R803" s="138"/>
      <c r="U803" s="138"/>
      <c r="X803" s="138"/>
    </row>
    <row r="804" spans="4:24" ht="12.75" customHeight="1" x14ac:dyDescent="0.25">
      <c r="D804" s="138"/>
      <c r="E804" s="138"/>
      <c r="L804" s="138"/>
      <c r="O804" s="138"/>
      <c r="R804" s="138"/>
      <c r="U804" s="138"/>
      <c r="X804" s="138"/>
    </row>
    <row r="805" spans="4:24" ht="12.75" customHeight="1" x14ac:dyDescent="0.25">
      <c r="D805" s="138"/>
      <c r="E805" s="138"/>
      <c r="L805" s="138"/>
      <c r="O805" s="138"/>
      <c r="R805" s="138"/>
      <c r="U805" s="138"/>
      <c r="X805" s="138"/>
    </row>
    <row r="806" spans="4:24" ht="12.75" customHeight="1" x14ac:dyDescent="0.25">
      <c r="D806" s="138"/>
      <c r="E806" s="138"/>
      <c r="L806" s="138"/>
      <c r="O806" s="138"/>
      <c r="R806" s="138"/>
      <c r="U806" s="138"/>
      <c r="X806" s="138"/>
    </row>
    <row r="807" spans="4:24" ht="12.75" customHeight="1" x14ac:dyDescent="0.25">
      <c r="D807" s="138"/>
      <c r="E807" s="138"/>
      <c r="L807" s="138"/>
      <c r="O807" s="138"/>
      <c r="R807" s="138"/>
      <c r="U807" s="138"/>
      <c r="X807" s="138"/>
    </row>
    <row r="808" spans="4:24" ht="12.75" customHeight="1" x14ac:dyDescent="0.25">
      <c r="D808" s="138"/>
      <c r="E808" s="138"/>
      <c r="L808" s="138"/>
      <c r="O808" s="138"/>
      <c r="R808" s="138"/>
      <c r="U808" s="138"/>
      <c r="X808" s="138"/>
    </row>
    <row r="809" spans="4:24" ht="12.75" customHeight="1" x14ac:dyDescent="0.25">
      <c r="D809" s="138"/>
      <c r="E809" s="138"/>
      <c r="L809" s="138"/>
      <c r="O809" s="138"/>
      <c r="R809" s="138"/>
      <c r="U809" s="138"/>
      <c r="X809" s="138"/>
    </row>
    <row r="810" spans="4:24" ht="12.75" customHeight="1" x14ac:dyDescent="0.25">
      <c r="D810" s="138"/>
      <c r="E810" s="138"/>
      <c r="L810" s="138"/>
      <c r="O810" s="138"/>
      <c r="R810" s="138"/>
      <c r="U810" s="138"/>
      <c r="X810" s="138"/>
    </row>
    <row r="811" spans="4:24" ht="12.75" customHeight="1" x14ac:dyDescent="0.25">
      <c r="D811" s="138"/>
      <c r="E811" s="138"/>
      <c r="L811" s="138"/>
      <c r="O811" s="138"/>
      <c r="R811" s="138"/>
      <c r="U811" s="138"/>
      <c r="X811" s="138"/>
    </row>
    <row r="812" spans="4:24" ht="12.75" customHeight="1" x14ac:dyDescent="0.25">
      <c r="D812" s="138"/>
      <c r="E812" s="138"/>
      <c r="L812" s="138"/>
      <c r="O812" s="138"/>
      <c r="R812" s="138"/>
      <c r="U812" s="138"/>
      <c r="X812" s="138"/>
    </row>
    <row r="813" spans="4:24" ht="12.75" customHeight="1" x14ac:dyDescent="0.25">
      <c r="D813" s="138"/>
      <c r="E813" s="138"/>
      <c r="L813" s="138"/>
      <c r="O813" s="138"/>
      <c r="R813" s="138"/>
      <c r="U813" s="138"/>
      <c r="X813" s="138"/>
    </row>
    <row r="814" spans="4:24" ht="12.75" customHeight="1" x14ac:dyDescent="0.25">
      <c r="D814" s="138"/>
      <c r="E814" s="138"/>
      <c r="L814" s="138"/>
      <c r="O814" s="138"/>
      <c r="R814" s="138"/>
      <c r="U814" s="138"/>
      <c r="X814" s="138"/>
    </row>
    <row r="815" spans="4:24" ht="12.75" customHeight="1" x14ac:dyDescent="0.25">
      <c r="D815" s="138"/>
      <c r="E815" s="138"/>
      <c r="L815" s="138"/>
      <c r="O815" s="138"/>
      <c r="R815" s="138"/>
      <c r="U815" s="138"/>
      <c r="X815" s="138"/>
    </row>
    <row r="816" spans="4:24" ht="12.75" customHeight="1" x14ac:dyDescent="0.25">
      <c r="D816" s="138"/>
      <c r="E816" s="138"/>
      <c r="L816" s="138"/>
      <c r="O816" s="138"/>
      <c r="R816" s="138"/>
      <c r="U816" s="138"/>
      <c r="X816" s="138"/>
    </row>
    <row r="817" spans="4:24" ht="12.75" customHeight="1" x14ac:dyDescent="0.25">
      <c r="D817" s="138"/>
      <c r="E817" s="138"/>
      <c r="L817" s="138"/>
      <c r="O817" s="138"/>
      <c r="R817" s="138"/>
      <c r="U817" s="138"/>
      <c r="X817" s="138"/>
    </row>
    <row r="818" spans="4:24" ht="12.75" customHeight="1" x14ac:dyDescent="0.25">
      <c r="D818" s="138"/>
      <c r="E818" s="138"/>
      <c r="L818" s="138"/>
      <c r="O818" s="138"/>
      <c r="R818" s="138"/>
      <c r="U818" s="138"/>
      <c r="X818" s="138"/>
    </row>
    <row r="819" spans="4:24" ht="12.75" customHeight="1" x14ac:dyDescent="0.25">
      <c r="D819" s="138"/>
      <c r="E819" s="138"/>
      <c r="L819" s="138"/>
      <c r="O819" s="138"/>
      <c r="R819" s="138"/>
      <c r="U819" s="138"/>
      <c r="X819" s="138"/>
    </row>
    <row r="820" spans="4:24" ht="12.75" customHeight="1" x14ac:dyDescent="0.25">
      <c r="D820" s="138"/>
      <c r="E820" s="138"/>
      <c r="L820" s="138"/>
      <c r="O820" s="138"/>
      <c r="R820" s="138"/>
      <c r="U820" s="138"/>
      <c r="X820" s="138"/>
    </row>
    <row r="821" spans="4:24" ht="12.75" customHeight="1" x14ac:dyDescent="0.25">
      <c r="D821" s="138"/>
      <c r="E821" s="138"/>
      <c r="L821" s="138"/>
      <c r="O821" s="138"/>
      <c r="R821" s="138"/>
      <c r="U821" s="138"/>
      <c r="X821" s="138"/>
    </row>
    <row r="822" spans="4:24" ht="12.75" customHeight="1" x14ac:dyDescent="0.25">
      <c r="D822" s="138"/>
      <c r="E822" s="138"/>
      <c r="L822" s="138"/>
      <c r="O822" s="138"/>
      <c r="R822" s="138"/>
      <c r="U822" s="138"/>
      <c r="X822" s="138"/>
    </row>
    <row r="823" spans="4:24" ht="12.75" customHeight="1" x14ac:dyDescent="0.25">
      <c r="D823" s="138"/>
      <c r="E823" s="138"/>
      <c r="L823" s="138"/>
      <c r="O823" s="138"/>
      <c r="R823" s="138"/>
      <c r="U823" s="138"/>
      <c r="X823" s="138"/>
    </row>
    <row r="824" spans="4:24" ht="12.75" customHeight="1" x14ac:dyDescent="0.25">
      <c r="D824" s="138"/>
      <c r="E824" s="138"/>
      <c r="L824" s="138"/>
      <c r="O824" s="138"/>
      <c r="R824" s="138"/>
      <c r="U824" s="138"/>
      <c r="X824" s="138"/>
    </row>
    <row r="825" spans="4:24" ht="12.75" customHeight="1" x14ac:dyDescent="0.25">
      <c r="D825" s="138"/>
      <c r="E825" s="138"/>
      <c r="L825" s="138"/>
      <c r="O825" s="138"/>
      <c r="R825" s="138"/>
      <c r="U825" s="138"/>
      <c r="X825" s="138"/>
    </row>
    <row r="826" spans="4:24" ht="12.75" customHeight="1" x14ac:dyDescent="0.25">
      <c r="D826" s="138"/>
      <c r="E826" s="138"/>
      <c r="L826" s="138"/>
      <c r="O826" s="138"/>
      <c r="R826" s="138"/>
      <c r="U826" s="138"/>
      <c r="X826" s="138"/>
    </row>
    <row r="827" spans="4:24" ht="12.75" customHeight="1" x14ac:dyDescent="0.25">
      <c r="D827" s="138"/>
      <c r="E827" s="138"/>
      <c r="L827" s="138"/>
      <c r="O827" s="138"/>
      <c r="R827" s="138"/>
      <c r="U827" s="138"/>
      <c r="X827" s="138"/>
    </row>
    <row r="828" spans="4:24" ht="12.75" customHeight="1" x14ac:dyDescent="0.25">
      <c r="D828" s="138"/>
      <c r="E828" s="138"/>
      <c r="L828" s="138"/>
      <c r="O828" s="138"/>
      <c r="R828" s="138"/>
      <c r="U828" s="138"/>
      <c r="X828" s="138"/>
    </row>
    <row r="829" spans="4:24" ht="12.75" customHeight="1" x14ac:dyDescent="0.25">
      <c r="D829" s="138"/>
      <c r="E829" s="138"/>
      <c r="L829" s="138"/>
      <c r="O829" s="138"/>
      <c r="R829" s="138"/>
      <c r="U829" s="138"/>
      <c r="X829" s="138"/>
    </row>
    <row r="830" spans="4:24" ht="12.75" customHeight="1" x14ac:dyDescent="0.25">
      <c r="D830" s="138"/>
      <c r="E830" s="138"/>
      <c r="L830" s="138"/>
      <c r="O830" s="138"/>
      <c r="R830" s="138"/>
      <c r="U830" s="138"/>
      <c r="X830" s="138"/>
    </row>
    <row r="831" spans="4:24" ht="12.75" customHeight="1" x14ac:dyDescent="0.25">
      <c r="D831" s="138"/>
      <c r="E831" s="138"/>
      <c r="L831" s="138"/>
      <c r="O831" s="138"/>
      <c r="R831" s="138"/>
      <c r="U831" s="138"/>
      <c r="X831" s="138"/>
    </row>
    <row r="832" spans="4:24" ht="12.75" customHeight="1" x14ac:dyDescent="0.25">
      <c r="D832" s="138"/>
      <c r="E832" s="138"/>
      <c r="L832" s="138"/>
      <c r="O832" s="138"/>
      <c r="R832" s="138"/>
      <c r="U832" s="138"/>
      <c r="X832" s="138"/>
    </row>
    <row r="833" spans="4:24" ht="12.75" customHeight="1" x14ac:dyDescent="0.25">
      <c r="D833" s="138"/>
      <c r="E833" s="138"/>
      <c r="L833" s="138"/>
      <c r="O833" s="138"/>
      <c r="R833" s="138"/>
      <c r="U833" s="138"/>
      <c r="X833" s="138"/>
    </row>
    <row r="834" spans="4:24" ht="12.75" customHeight="1" x14ac:dyDescent="0.25">
      <c r="D834" s="138"/>
      <c r="E834" s="138"/>
      <c r="L834" s="138"/>
      <c r="O834" s="138"/>
      <c r="R834" s="138"/>
      <c r="U834" s="138"/>
      <c r="X834" s="138"/>
    </row>
    <row r="835" spans="4:24" ht="12.75" customHeight="1" x14ac:dyDescent="0.25">
      <c r="D835" s="138"/>
      <c r="E835" s="138"/>
      <c r="L835" s="138"/>
      <c r="O835" s="138"/>
      <c r="R835" s="138"/>
      <c r="U835" s="138"/>
      <c r="X835" s="138"/>
    </row>
    <row r="836" spans="4:24" ht="12.75" customHeight="1" x14ac:dyDescent="0.25">
      <c r="D836" s="138"/>
      <c r="E836" s="138"/>
      <c r="L836" s="138"/>
      <c r="O836" s="138"/>
      <c r="R836" s="138"/>
      <c r="U836" s="138"/>
      <c r="X836" s="138"/>
    </row>
    <row r="837" spans="4:24" ht="12.75" customHeight="1" x14ac:dyDescent="0.25">
      <c r="D837" s="138"/>
      <c r="E837" s="138"/>
      <c r="L837" s="138"/>
      <c r="O837" s="138"/>
      <c r="R837" s="138"/>
      <c r="U837" s="138"/>
      <c r="X837" s="138"/>
    </row>
    <row r="838" spans="4:24" ht="12.75" customHeight="1" x14ac:dyDescent="0.25">
      <c r="D838" s="138"/>
      <c r="E838" s="138"/>
      <c r="L838" s="138"/>
      <c r="O838" s="138"/>
      <c r="R838" s="138"/>
      <c r="U838" s="138"/>
      <c r="X838" s="138"/>
    </row>
    <row r="839" spans="4:24" ht="12.75" customHeight="1" x14ac:dyDescent="0.25">
      <c r="D839" s="138"/>
      <c r="E839" s="138"/>
      <c r="L839" s="138"/>
      <c r="O839" s="138"/>
      <c r="R839" s="138"/>
      <c r="U839" s="138"/>
      <c r="X839" s="138"/>
    </row>
    <row r="840" spans="4:24" ht="12.75" customHeight="1" x14ac:dyDescent="0.25">
      <c r="D840" s="138"/>
      <c r="E840" s="138"/>
      <c r="L840" s="138"/>
      <c r="O840" s="138"/>
      <c r="R840" s="138"/>
      <c r="U840" s="138"/>
      <c r="X840" s="138"/>
    </row>
    <row r="841" spans="4:24" ht="12.75" customHeight="1" x14ac:dyDescent="0.25">
      <c r="D841" s="138"/>
      <c r="E841" s="138"/>
      <c r="L841" s="138"/>
      <c r="O841" s="138"/>
      <c r="R841" s="138"/>
      <c r="U841" s="138"/>
      <c r="X841" s="138"/>
    </row>
    <row r="842" spans="4:24" ht="12.75" customHeight="1" x14ac:dyDescent="0.25">
      <c r="D842" s="138"/>
      <c r="E842" s="138"/>
      <c r="L842" s="138"/>
      <c r="O842" s="138"/>
      <c r="R842" s="138"/>
      <c r="U842" s="138"/>
      <c r="X842" s="138"/>
    </row>
    <row r="843" spans="4:24" ht="12.75" customHeight="1" x14ac:dyDescent="0.25">
      <c r="D843" s="138"/>
      <c r="E843" s="138"/>
      <c r="L843" s="138"/>
      <c r="O843" s="138"/>
      <c r="R843" s="138"/>
      <c r="U843" s="138"/>
      <c r="X843" s="138"/>
    </row>
    <row r="844" spans="4:24" ht="12.75" customHeight="1" x14ac:dyDescent="0.25">
      <c r="D844" s="138"/>
      <c r="E844" s="138"/>
      <c r="L844" s="138"/>
      <c r="O844" s="138"/>
      <c r="R844" s="138"/>
      <c r="U844" s="138"/>
      <c r="X844" s="138"/>
    </row>
    <row r="845" spans="4:24" ht="12.75" customHeight="1" x14ac:dyDescent="0.25">
      <c r="D845" s="138"/>
      <c r="E845" s="138"/>
      <c r="L845" s="138"/>
      <c r="O845" s="138"/>
      <c r="R845" s="138"/>
      <c r="U845" s="138"/>
      <c r="X845" s="138"/>
    </row>
    <row r="846" spans="4:24" ht="12.75" customHeight="1" x14ac:dyDescent="0.25">
      <c r="D846" s="138"/>
      <c r="E846" s="138"/>
      <c r="L846" s="138"/>
      <c r="O846" s="138"/>
      <c r="R846" s="138"/>
      <c r="U846" s="138"/>
      <c r="X846" s="138"/>
    </row>
    <row r="847" spans="4:24" ht="12.75" customHeight="1" x14ac:dyDescent="0.25">
      <c r="D847" s="138"/>
      <c r="E847" s="138"/>
      <c r="L847" s="138"/>
      <c r="O847" s="138"/>
      <c r="R847" s="138"/>
      <c r="U847" s="138"/>
      <c r="X847" s="138"/>
    </row>
    <row r="848" spans="4:24" ht="12.75" customHeight="1" x14ac:dyDescent="0.25">
      <c r="D848" s="138"/>
      <c r="E848" s="138"/>
      <c r="L848" s="138"/>
      <c r="O848" s="138"/>
      <c r="R848" s="138"/>
      <c r="U848" s="138"/>
      <c r="X848" s="138"/>
    </row>
    <row r="849" spans="4:24" ht="12.75" customHeight="1" x14ac:dyDescent="0.25">
      <c r="D849" s="138"/>
      <c r="E849" s="138"/>
      <c r="L849" s="138"/>
      <c r="O849" s="138"/>
      <c r="R849" s="138"/>
      <c r="U849" s="138"/>
      <c r="X849" s="138"/>
    </row>
    <row r="850" spans="4:24" ht="12.75" customHeight="1" x14ac:dyDescent="0.25">
      <c r="D850" s="138"/>
      <c r="E850" s="138"/>
      <c r="L850" s="138"/>
      <c r="O850" s="138"/>
      <c r="R850" s="138"/>
      <c r="U850" s="138"/>
      <c r="X850" s="138"/>
    </row>
    <row r="851" spans="4:24" ht="12.75" customHeight="1" x14ac:dyDescent="0.25">
      <c r="D851" s="138"/>
      <c r="E851" s="138"/>
      <c r="L851" s="138"/>
      <c r="O851" s="138"/>
      <c r="R851" s="138"/>
      <c r="U851" s="138"/>
      <c r="X851" s="138"/>
    </row>
    <row r="852" spans="4:24" ht="12.75" customHeight="1" x14ac:dyDescent="0.25">
      <c r="D852" s="138"/>
      <c r="E852" s="138"/>
      <c r="L852" s="138"/>
      <c r="O852" s="138"/>
      <c r="R852" s="138"/>
      <c r="U852" s="138"/>
      <c r="X852" s="138"/>
    </row>
    <row r="853" spans="4:24" ht="12.75" customHeight="1" x14ac:dyDescent="0.25">
      <c r="D853" s="138"/>
      <c r="E853" s="138"/>
      <c r="L853" s="138"/>
      <c r="O853" s="138"/>
      <c r="R853" s="138"/>
      <c r="U853" s="138"/>
      <c r="X853" s="138"/>
    </row>
    <row r="854" spans="4:24" ht="12.75" customHeight="1" x14ac:dyDescent="0.25">
      <c r="D854" s="138"/>
      <c r="E854" s="138"/>
      <c r="L854" s="138"/>
      <c r="O854" s="138"/>
      <c r="R854" s="138"/>
      <c r="U854" s="138"/>
      <c r="X854" s="138"/>
    </row>
    <row r="855" spans="4:24" ht="12.75" customHeight="1" x14ac:dyDescent="0.25">
      <c r="D855" s="138"/>
      <c r="E855" s="138"/>
      <c r="L855" s="138"/>
      <c r="O855" s="138"/>
      <c r="R855" s="138"/>
      <c r="U855" s="138"/>
      <c r="X855" s="138"/>
    </row>
    <row r="856" spans="4:24" ht="12.75" customHeight="1" x14ac:dyDescent="0.25">
      <c r="D856" s="138"/>
      <c r="E856" s="138"/>
      <c r="L856" s="138"/>
      <c r="O856" s="138"/>
      <c r="R856" s="138"/>
      <c r="U856" s="138"/>
      <c r="X856" s="138"/>
    </row>
    <row r="857" spans="4:24" ht="12.75" customHeight="1" x14ac:dyDescent="0.25">
      <c r="D857" s="138"/>
      <c r="E857" s="138"/>
      <c r="L857" s="138"/>
      <c r="O857" s="138"/>
      <c r="R857" s="138"/>
      <c r="U857" s="138"/>
      <c r="X857" s="138"/>
    </row>
    <row r="858" spans="4:24" ht="12.75" customHeight="1" x14ac:dyDescent="0.25">
      <c r="D858" s="138"/>
      <c r="E858" s="138"/>
      <c r="L858" s="138"/>
      <c r="O858" s="138"/>
      <c r="R858" s="138"/>
      <c r="U858" s="138"/>
      <c r="X858" s="138"/>
    </row>
    <row r="859" spans="4:24" ht="12.75" customHeight="1" x14ac:dyDescent="0.25">
      <c r="D859" s="138"/>
      <c r="E859" s="138"/>
      <c r="L859" s="138"/>
      <c r="O859" s="138"/>
      <c r="R859" s="138"/>
      <c r="U859" s="138"/>
      <c r="X859" s="138"/>
    </row>
    <row r="860" spans="4:24" ht="12.75" customHeight="1" x14ac:dyDescent="0.25">
      <c r="D860" s="138"/>
      <c r="E860" s="138"/>
      <c r="L860" s="138"/>
      <c r="O860" s="138"/>
      <c r="R860" s="138"/>
      <c r="U860" s="138"/>
      <c r="X860" s="138"/>
    </row>
    <row r="861" spans="4:24" ht="12.75" customHeight="1" x14ac:dyDescent="0.25">
      <c r="D861" s="138"/>
      <c r="E861" s="138"/>
      <c r="L861" s="138"/>
      <c r="O861" s="138"/>
      <c r="R861" s="138"/>
      <c r="U861" s="138"/>
      <c r="X861" s="138"/>
    </row>
    <row r="862" spans="4:24" ht="12.75" customHeight="1" x14ac:dyDescent="0.25">
      <c r="D862" s="138"/>
      <c r="E862" s="138"/>
      <c r="L862" s="138"/>
      <c r="O862" s="138"/>
      <c r="R862" s="138"/>
      <c r="U862" s="138"/>
      <c r="X862" s="138"/>
    </row>
    <row r="863" spans="4:24" ht="12.75" customHeight="1" x14ac:dyDescent="0.25">
      <c r="D863" s="138"/>
      <c r="E863" s="138"/>
      <c r="L863" s="138"/>
      <c r="O863" s="138"/>
      <c r="R863" s="138"/>
      <c r="U863" s="138"/>
      <c r="X863" s="138"/>
    </row>
    <row r="864" spans="4:24" ht="12.75" customHeight="1" x14ac:dyDescent="0.25">
      <c r="D864" s="138"/>
      <c r="E864" s="138"/>
      <c r="L864" s="138"/>
      <c r="O864" s="138"/>
      <c r="R864" s="138"/>
      <c r="U864" s="138"/>
      <c r="X864" s="138"/>
    </row>
    <row r="865" spans="4:24" ht="12.75" customHeight="1" x14ac:dyDescent="0.25">
      <c r="D865" s="138"/>
      <c r="E865" s="138"/>
      <c r="L865" s="138"/>
      <c r="O865" s="138"/>
      <c r="R865" s="138"/>
      <c r="U865" s="138"/>
      <c r="X865" s="138"/>
    </row>
    <row r="866" spans="4:24" ht="12.75" customHeight="1" x14ac:dyDescent="0.25">
      <c r="D866" s="138"/>
      <c r="E866" s="138"/>
      <c r="L866" s="138"/>
      <c r="O866" s="138"/>
      <c r="R866" s="138"/>
      <c r="U866" s="138"/>
      <c r="X866" s="138"/>
    </row>
    <row r="867" spans="4:24" ht="12.75" customHeight="1" x14ac:dyDescent="0.25">
      <c r="D867" s="138"/>
      <c r="E867" s="138"/>
      <c r="L867" s="138"/>
      <c r="O867" s="138"/>
      <c r="R867" s="138"/>
      <c r="U867" s="138"/>
      <c r="X867" s="138"/>
    </row>
    <row r="868" spans="4:24" ht="12.75" customHeight="1" x14ac:dyDescent="0.25">
      <c r="D868" s="138"/>
      <c r="E868" s="138"/>
      <c r="L868" s="138"/>
      <c r="O868" s="138"/>
      <c r="R868" s="138"/>
      <c r="U868" s="138"/>
      <c r="X868" s="138"/>
    </row>
    <row r="869" spans="4:24" ht="12.75" customHeight="1" x14ac:dyDescent="0.25">
      <c r="D869" s="138"/>
      <c r="E869" s="138"/>
      <c r="L869" s="138"/>
      <c r="O869" s="138"/>
      <c r="R869" s="138"/>
      <c r="U869" s="138"/>
      <c r="X869" s="138"/>
    </row>
    <row r="870" spans="4:24" ht="12.75" customHeight="1" x14ac:dyDescent="0.25">
      <c r="D870" s="138"/>
      <c r="E870" s="138"/>
      <c r="L870" s="138"/>
      <c r="O870" s="138"/>
      <c r="R870" s="138"/>
      <c r="U870" s="138"/>
      <c r="X870" s="138"/>
    </row>
    <row r="871" spans="4:24" ht="12.75" customHeight="1" x14ac:dyDescent="0.25">
      <c r="D871" s="138"/>
      <c r="E871" s="138"/>
      <c r="L871" s="138"/>
      <c r="O871" s="138"/>
      <c r="R871" s="138"/>
      <c r="U871" s="138"/>
      <c r="X871" s="138"/>
    </row>
    <row r="872" spans="4:24" ht="12.75" customHeight="1" x14ac:dyDescent="0.25">
      <c r="D872" s="138"/>
      <c r="E872" s="138"/>
      <c r="L872" s="138"/>
      <c r="O872" s="138"/>
      <c r="R872" s="138"/>
      <c r="U872" s="138"/>
      <c r="X872" s="138"/>
    </row>
    <row r="873" spans="4:24" ht="12.75" customHeight="1" x14ac:dyDescent="0.25">
      <c r="D873" s="138"/>
      <c r="E873" s="138"/>
      <c r="L873" s="138"/>
      <c r="O873" s="138"/>
      <c r="R873" s="138"/>
      <c r="U873" s="138"/>
      <c r="X873" s="138"/>
    </row>
    <row r="874" spans="4:24" ht="12.75" customHeight="1" x14ac:dyDescent="0.25">
      <c r="D874" s="138"/>
      <c r="E874" s="138"/>
      <c r="L874" s="138"/>
      <c r="O874" s="138"/>
      <c r="R874" s="138"/>
      <c r="U874" s="138"/>
      <c r="X874" s="138"/>
    </row>
    <row r="875" spans="4:24" ht="12.75" customHeight="1" x14ac:dyDescent="0.25">
      <c r="D875" s="138"/>
      <c r="E875" s="138"/>
      <c r="L875" s="138"/>
      <c r="O875" s="138"/>
      <c r="R875" s="138"/>
      <c r="U875" s="138"/>
      <c r="X875" s="138"/>
    </row>
    <row r="876" spans="4:24" ht="12.75" customHeight="1" x14ac:dyDescent="0.25">
      <c r="D876" s="138"/>
      <c r="E876" s="138"/>
      <c r="L876" s="138"/>
      <c r="O876" s="138"/>
      <c r="R876" s="138"/>
      <c r="U876" s="138"/>
      <c r="X876" s="138"/>
    </row>
    <row r="877" spans="4:24" ht="12.75" customHeight="1" x14ac:dyDescent="0.25">
      <c r="D877" s="138"/>
      <c r="E877" s="138"/>
      <c r="L877" s="138"/>
      <c r="O877" s="138"/>
      <c r="R877" s="138"/>
      <c r="U877" s="138"/>
      <c r="X877" s="138"/>
    </row>
    <row r="878" spans="4:24" ht="12.75" customHeight="1" x14ac:dyDescent="0.25">
      <c r="D878" s="138"/>
      <c r="E878" s="138"/>
      <c r="L878" s="138"/>
      <c r="O878" s="138"/>
      <c r="R878" s="138"/>
      <c r="U878" s="138"/>
      <c r="X878" s="138"/>
    </row>
    <row r="879" spans="4:24" ht="12.75" customHeight="1" x14ac:dyDescent="0.25">
      <c r="D879" s="138"/>
      <c r="E879" s="138"/>
      <c r="L879" s="138"/>
      <c r="O879" s="138"/>
      <c r="R879" s="138"/>
      <c r="U879" s="138"/>
      <c r="X879" s="138"/>
    </row>
    <row r="880" spans="4:24" ht="12.75" customHeight="1" x14ac:dyDescent="0.25">
      <c r="D880" s="138"/>
      <c r="E880" s="138"/>
      <c r="L880" s="138"/>
      <c r="O880" s="138"/>
      <c r="R880" s="138"/>
      <c r="U880" s="138"/>
      <c r="X880" s="138"/>
    </row>
    <row r="881" spans="4:24" ht="12.75" customHeight="1" x14ac:dyDescent="0.25">
      <c r="D881" s="138"/>
      <c r="E881" s="138"/>
      <c r="L881" s="138"/>
      <c r="O881" s="138"/>
      <c r="R881" s="138"/>
      <c r="U881" s="138"/>
      <c r="X881" s="138"/>
    </row>
    <row r="882" spans="4:24" ht="12.75" customHeight="1" x14ac:dyDescent="0.25">
      <c r="D882" s="138"/>
      <c r="E882" s="138"/>
      <c r="L882" s="138"/>
      <c r="O882" s="138"/>
      <c r="R882" s="138"/>
      <c r="U882" s="138"/>
      <c r="X882" s="138"/>
    </row>
    <row r="883" spans="4:24" ht="12.75" customHeight="1" x14ac:dyDescent="0.25">
      <c r="D883" s="138"/>
      <c r="E883" s="138"/>
      <c r="L883" s="138"/>
      <c r="O883" s="138"/>
      <c r="R883" s="138"/>
      <c r="U883" s="138"/>
      <c r="X883" s="138"/>
    </row>
    <row r="884" spans="4:24" ht="12.75" customHeight="1" x14ac:dyDescent="0.25">
      <c r="D884" s="138"/>
      <c r="E884" s="138"/>
      <c r="L884" s="138"/>
      <c r="O884" s="138"/>
      <c r="R884" s="138"/>
      <c r="U884" s="138"/>
      <c r="X884" s="138"/>
    </row>
    <row r="885" spans="4:24" ht="12.75" customHeight="1" x14ac:dyDescent="0.25">
      <c r="D885" s="138"/>
      <c r="E885" s="138"/>
      <c r="L885" s="138"/>
      <c r="O885" s="138"/>
      <c r="R885" s="138"/>
      <c r="U885" s="138"/>
      <c r="X885" s="138"/>
    </row>
    <row r="886" spans="4:24" ht="12.75" customHeight="1" x14ac:dyDescent="0.25">
      <c r="D886" s="138"/>
      <c r="E886" s="138"/>
      <c r="L886" s="138"/>
      <c r="O886" s="138"/>
      <c r="R886" s="138"/>
      <c r="U886" s="138"/>
      <c r="X886" s="138"/>
    </row>
    <row r="887" spans="4:24" ht="12.75" customHeight="1" x14ac:dyDescent="0.25">
      <c r="D887" s="138"/>
      <c r="E887" s="138"/>
      <c r="L887" s="138"/>
      <c r="O887" s="138"/>
      <c r="R887" s="138"/>
      <c r="U887" s="138"/>
      <c r="X887" s="138"/>
    </row>
    <row r="888" spans="4:24" ht="12.75" customHeight="1" x14ac:dyDescent="0.25">
      <c r="D888" s="138"/>
      <c r="E888" s="138"/>
      <c r="L888" s="138"/>
      <c r="O888" s="138"/>
      <c r="R888" s="138"/>
      <c r="U888" s="138"/>
      <c r="X888" s="138"/>
    </row>
    <row r="889" spans="4:24" ht="12.75" customHeight="1" x14ac:dyDescent="0.25">
      <c r="D889" s="138"/>
      <c r="E889" s="138"/>
      <c r="L889" s="138"/>
      <c r="O889" s="138"/>
      <c r="R889" s="138"/>
      <c r="U889" s="138"/>
      <c r="X889" s="138"/>
    </row>
    <row r="890" spans="4:24" ht="12.75" customHeight="1" x14ac:dyDescent="0.25">
      <c r="D890" s="138"/>
      <c r="E890" s="138"/>
      <c r="L890" s="138"/>
      <c r="O890" s="138"/>
      <c r="R890" s="138"/>
      <c r="U890" s="138"/>
      <c r="X890" s="138"/>
    </row>
    <row r="891" spans="4:24" ht="12.75" customHeight="1" x14ac:dyDescent="0.25">
      <c r="D891" s="138"/>
      <c r="E891" s="138"/>
      <c r="L891" s="138"/>
      <c r="O891" s="138"/>
      <c r="R891" s="138"/>
      <c r="U891" s="138"/>
      <c r="X891" s="138"/>
    </row>
    <row r="892" spans="4:24" ht="12.75" customHeight="1" x14ac:dyDescent="0.25">
      <c r="D892" s="138"/>
      <c r="E892" s="138"/>
      <c r="L892" s="138"/>
      <c r="O892" s="138"/>
      <c r="R892" s="138"/>
      <c r="U892" s="138"/>
      <c r="X892" s="138"/>
    </row>
    <row r="893" spans="4:24" ht="12.75" customHeight="1" x14ac:dyDescent="0.25">
      <c r="D893" s="138"/>
      <c r="E893" s="138"/>
      <c r="L893" s="138"/>
      <c r="O893" s="138"/>
      <c r="R893" s="138"/>
      <c r="U893" s="138"/>
      <c r="X893" s="138"/>
    </row>
    <row r="894" spans="4:24" ht="12.75" customHeight="1" x14ac:dyDescent="0.25">
      <c r="D894" s="138"/>
      <c r="E894" s="138"/>
      <c r="L894" s="138"/>
      <c r="O894" s="138"/>
      <c r="R894" s="138"/>
      <c r="U894" s="138"/>
      <c r="X894" s="138"/>
    </row>
    <row r="895" spans="4:24" ht="12.75" customHeight="1" x14ac:dyDescent="0.25">
      <c r="D895" s="138"/>
      <c r="E895" s="138"/>
      <c r="L895" s="138"/>
      <c r="O895" s="138"/>
      <c r="R895" s="138"/>
      <c r="U895" s="138"/>
      <c r="X895" s="138"/>
    </row>
    <row r="896" spans="4:24" ht="12.75" customHeight="1" x14ac:dyDescent="0.25">
      <c r="D896" s="138"/>
      <c r="E896" s="138"/>
      <c r="L896" s="138"/>
      <c r="O896" s="138"/>
      <c r="R896" s="138"/>
      <c r="U896" s="138"/>
      <c r="X896" s="138"/>
    </row>
    <row r="897" spans="4:24" ht="12.75" customHeight="1" x14ac:dyDescent="0.25">
      <c r="D897" s="138"/>
      <c r="E897" s="138"/>
      <c r="L897" s="138"/>
      <c r="O897" s="138"/>
      <c r="R897" s="138"/>
      <c r="U897" s="138"/>
      <c r="X897" s="138"/>
    </row>
    <row r="898" spans="4:24" ht="12.75" customHeight="1" x14ac:dyDescent="0.25">
      <c r="D898" s="138"/>
      <c r="E898" s="138"/>
      <c r="L898" s="138"/>
      <c r="O898" s="138"/>
      <c r="R898" s="138"/>
      <c r="U898" s="138"/>
      <c r="X898" s="138"/>
    </row>
    <row r="899" spans="4:24" ht="12.75" customHeight="1" x14ac:dyDescent="0.25">
      <c r="D899" s="138"/>
      <c r="E899" s="138"/>
      <c r="L899" s="138"/>
      <c r="O899" s="138"/>
      <c r="R899" s="138"/>
      <c r="U899" s="138"/>
      <c r="X899" s="138"/>
    </row>
    <row r="900" spans="4:24" ht="12.75" customHeight="1" x14ac:dyDescent="0.25">
      <c r="D900" s="138"/>
      <c r="E900" s="138"/>
      <c r="L900" s="138"/>
      <c r="O900" s="138"/>
      <c r="R900" s="138"/>
      <c r="U900" s="138"/>
      <c r="X900" s="138"/>
    </row>
    <row r="901" spans="4:24" ht="12.75" customHeight="1" x14ac:dyDescent="0.25">
      <c r="D901" s="138"/>
      <c r="E901" s="138"/>
      <c r="L901" s="138"/>
      <c r="O901" s="138"/>
      <c r="R901" s="138"/>
      <c r="U901" s="138"/>
      <c r="X901" s="138"/>
    </row>
    <row r="902" spans="4:24" ht="12.75" customHeight="1" x14ac:dyDescent="0.25">
      <c r="D902" s="138"/>
      <c r="E902" s="138"/>
      <c r="L902" s="138"/>
      <c r="O902" s="138"/>
      <c r="R902" s="138"/>
      <c r="U902" s="138"/>
      <c r="X902" s="138"/>
    </row>
    <row r="903" spans="4:24" ht="12.75" customHeight="1" x14ac:dyDescent="0.25">
      <c r="D903" s="138"/>
      <c r="E903" s="138"/>
      <c r="L903" s="138"/>
      <c r="O903" s="138"/>
      <c r="R903" s="138"/>
      <c r="U903" s="138"/>
      <c r="X903" s="138"/>
    </row>
    <row r="904" spans="4:24" ht="12.75" customHeight="1" x14ac:dyDescent="0.25">
      <c r="D904" s="138"/>
      <c r="E904" s="138"/>
      <c r="L904" s="138"/>
      <c r="O904" s="138"/>
      <c r="R904" s="138"/>
      <c r="U904" s="138"/>
      <c r="X904" s="138"/>
    </row>
    <row r="905" spans="4:24" ht="12.75" customHeight="1" x14ac:dyDescent="0.25">
      <c r="D905" s="138"/>
      <c r="E905" s="138"/>
      <c r="L905" s="138"/>
      <c r="O905" s="138"/>
      <c r="R905" s="138"/>
      <c r="U905" s="138"/>
      <c r="X905" s="138"/>
    </row>
    <row r="906" spans="4:24" ht="12.75" customHeight="1" x14ac:dyDescent="0.25">
      <c r="D906" s="138"/>
      <c r="E906" s="138"/>
      <c r="L906" s="138"/>
      <c r="O906" s="138"/>
      <c r="R906" s="138"/>
      <c r="U906" s="138"/>
      <c r="X906" s="138"/>
    </row>
    <row r="907" spans="4:24" ht="12.75" customHeight="1" x14ac:dyDescent="0.25">
      <c r="D907" s="138"/>
      <c r="E907" s="138"/>
      <c r="L907" s="138"/>
      <c r="O907" s="138"/>
      <c r="R907" s="138"/>
      <c r="U907" s="138"/>
      <c r="X907" s="138"/>
    </row>
    <row r="908" spans="4:24" ht="12.75" customHeight="1" x14ac:dyDescent="0.25">
      <c r="D908" s="138"/>
      <c r="E908" s="138"/>
      <c r="L908" s="138"/>
      <c r="O908" s="138"/>
      <c r="R908" s="138"/>
      <c r="U908" s="138"/>
      <c r="X908" s="138"/>
    </row>
    <row r="909" spans="4:24" ht="12.75" customHeight="1" x14ac:dyDescent="0.25">
      <c r="D909" s="138"/>
      <c r="E909" s="138"/>
      <c r="L909" s="138"/>
      <c r="O909" s="138"/>
      <c r="R909" s="138"/>
      <c r="U909" s="138"/>
      <c r="X909" s="138"/>
    </row>
    <row r="910" spans="4:24" ht="12.75" customHeight="1" x14ac:dyDescent="0.25">
      <c r="D910" s="138"/>
      <c r="E910" s="138"/>
      <c r="L910" s="138"/>
      <c r="O910" s="138"/>
      <c r="R910" s="138"/>
      <c r="U910" s="138"/>
      <c r="X910" s="138"/>
    </row>
    <row r="911" spans="4:24" ht="12.75" customHeight="1" x14ac:dyDescent="0.25">
      <c r="D911" s="138"/>
      <c r="E911" s="138"/>
      <c r="L911" s="138"/>
      <c r="O911" s="138"/>
      <c r="R911" s="138"/>
      <c r="U911" s="138"/>
      <c r="X911" s="138"/>
    </row>
    <row r="912" spans="4:24" ht="12.75" customHeight="1" x14ac:dyDescent="0.25">
      <c r="D912" s="138"/>
      <c r="E912" s="138"/>
      <c r="L912" s="138"/>
      <c r="O912" s="138"/>
      <c r="R912" s="138"/>
      <c r="U912" s="138"/>
      <c r="X912" s="138"/>
    </row>
    <row r="913" spans="4:24" ht="12.75" customHeight="1" x14ac:dyDescent="0.25">
      <c r="D913" s="138"/>
      <c r="E913" s="138"/>
      <c r="L913" s="138"/>
      <c r="O913" s="138"/>
      <c r="R913" s="138"/>
      <c r="U913" s="138"/>
      <c r="X913" s="138"/>
    </row>
    <row r="914" spans="4:24" ht="12.75" customHeight="1" x14ac:dyDescent="0.25">
      <c r="D914" s="138"/>
      <c r="E914" s="138"/>
      <c r="L914" s="138"/>
      <c r="O914" s="138"/>
      <c r="R914" s="138"/>
      <c r="U914" s="138"/>
      <c r="X914" s="138"/>
    </row>
    <row r="915" spans="4:24" ht="12.75" customHeight="1" x14ac:dyDescent="0.25">
      <c r="D915" s="138"/>
      <c r="E915" s="138"/>
      <c r="L915" s="138"/>
      <c r="O915" s="138"/>
      <c r="R915" s="138"/>
      <c r="U915" s="138"/>
      <c r="X915" s="138"/>
    </row>
    <row r="916" spans="4:24" ht="12.75" customHeight="1" x14ac:dyDescent="0.25">
      <c r="D916" s="138"/>
      <c r="E916" s="138"/>
      <c r="L916" s="138"/>
      <c r="O916" s="138"/>
      <c r="R916" s="138"/>
      <c r="U916" s="138"/>
      <c r="X916" s="138"/>
    </row>
    <row r="917" spans="4:24" ht="12.75" customHeight="1" x14ac:dyDescent="0.25">
      <c r="D917" s="138"/>
      <c r="E917" s="138"/>
      <c r="L917" s="138"/>
      <c r="O917" s="138"/>
      <c r="R917" s="138"/>
      <c r="U917" s="138"/>
      <c r="X917" s="138"/>
    </row>
    <row r="918" spans="4:24" ht="12.75" customHeight="1" x14ac:dyDescent="0.25">
      <c r="D918" s="138"/>
      <c r="E918" s="138"/>
      <c r="L918" s="138"/>
      <c r="O918" s="138"/>
      <c r="R918" s="138"/>
      <c r="U918" s="138"/>
      <c r="X918" s="138"/>
    </row>
    <row r="919" spans="4:24" ht="12.75" customHeight="1" x14ac:dyDescent="0.25">
      <c r="D919" s="138"/>
      <c r="E919" s="138"/>
      <c r="L919" s="138"/>
      <c r="O919" s="138"/>
      <c r="R919" s="138"/>
      <c r="U919" s="138"/>
      <c r="X919" s="138"/>
    </row>
    <row r="920" spans="4:24" ht="12.75" customHeight="1" x14ac:dyDescent="0.25">
      <c r="D920" s="138"/>
      <c r="E920" s="138"/>
      <c r="L920" s="138"/>
      <c r="O920" s="138"/>
      <c r="R920" s="138"/>
      <c r="U920" s="138"/>
      <c r="X920" s="138"/>
    </row>
    <row r="921" spans="4:24" ht="12.75" customHeight="1" x14ac:dyDescent="0.25">
      <c r="D921" s="138"/>
      <c r="E921" s="138"/>
      <c r="L921" s="138"/>
      <c r="O921" s="138"/>
      <c r="R921" s="138"/>
      <c r="U921" s="138"/>
      <c r="X921" s="138"/>
    </row>
    <row r="922" spans="4:24" ht="12.75" customHeight="1" x14ac:dyDescent="0.25">
      <c r="D922" s="138"/>
      <c r="E922" s="138"/>
      <c r="L922" s="138"/>
      <c r="O922" s="138"/>
      <c r="R922" s="138"/>
      <c r="U922" s="138"/>
      <c r="X922" s="138"/>
    </row>
    <row r="923" spans="4:24" ht="12.75" customHeight="1" x14ac:dyDescent="0.25">
      <c r="D923" s="138"/>
      <c r="E923" s="138"/>
      <c r="L923" s="138"/>
      <c r="O923" s="138"/>
      <c r="R923" s="138"/>
      <c r="U923" s="138"/>
      <c r="X923" s="138"/>
    </row>
    <row r="924" spans="4:24" ht="12.75" customHeight="1" x14ac:dyDescent="0.25">
      <c r="D924" s="138"/>
      <c r="E924" s="138"/>
      <c r="L924" s="138"/>
      <c r="O924" s="138"/>
      <c r="R924" s="138"/>
      <c r="U924" s="138"/>
      <c r="X924" s="138"/>
    </row>
    <row r="925" spans="4:24" ht="12.75" customHeight="1" x14ac:dyDescent="0.25">
      <c r="D925" s="138"/>
      <c r="E925" s="138"/>
      <c r="L925" s="138"/>
      <c r="O925" s="138"/>
      <c r="R925" s="138"/>
      <c r="U925" s="138"/>
      <c r="X925" s="138"/>
    </row>
    <row r="926" spans="4:24" ht="12.75" customHeight="1" x14ac:dyDescent="0.25">
      <c r="D926" s="138"/>
      <c r="E926" s="138"/>
      <c r="L926" s="138"/>
      <c r="O926" s="138"/>
      <c r="R926" s="138"/>
      <c r="U926" s="138"/>
      <c r="X926" s="138"/>
    </row>
    <row r="927" spans="4:24" ht="12.75" customHeight="1" x14ac:dyDescent="0.25">
      <c r="D927" s="138"/>
      <c r="E927" s="138"/>
      <c r="L927" s="138"/>
      <c r="O927" s="138"/>
      <c r="R927" s="138"/>
      <c r="U927" s="138"/>
      <c r="X927" s="138"/>
    </row>
    <row r="928" spans="4:24" ht="12.75" customHeight="1" x14ac:dyDescent="0.25">
      <c r="D928" s="138"/>
      <c r="E928" s="138"/>
      <c r="L928" s="138"/>
      <c r="O928" s="138"/>
      <c r="R928" s="138"/>
      <c r="U928" s="138"/>
      <c r="X928" s="138"/>
    </row>
    <row r="929" spans="4:24" ht="12.75" customHeight="1" x14ac:dyDescent="0.25">
      <c r="D929" s="138"/>
      <c r="E929" s="138"/>
      <c r="L929" s="138"/>
      <c r="O929" s="138"/>
      <c r="R929" s="138"/>
      <c r="U929" s="138"/>
      <c r="X929" s="138"/>
    </row>
    <row r="930" spans="4:24" ht="12.75" customHeight="1" x14ac:dyDescent="0.25">
      <c r="D930" s="138"/>
      <c r="E930" s="138"/>
      <c r="L930" s="138"/>
      <c r="O930" s="138"/>
      <c r="R930" s="138"/>
      <c r="U930" s="138"/>
      <c r="X930" s="138"/>
    </row>
    <row r="931" spans="4:24" ht="12.75" customHeight="1" x14ac:dyDescent="0.25">
      <c r="D931" s="138"/>
      <c r="E931" s="138"/>
      <c r="L931" s="138"/>
      <c r="O931" s="138"/>
      <c r="R931" s="138"/>
      <c r="U931" s="138"/>
      <c r="X931" s="138"/>
    </row>
    <row r="932" spans="4:24" ht="12.75" customHeight="1" x14ac:dyDescent="0.25">
      <c r="D932" s="138"/>
      <c r="E932" s="138"/>
      <c r="L932" s="138"/>
      <c r="O932" s="138"/>
      <c r="R932" s="138"/>
      <c r="U932" s="138"/>
      <c r="X932" s="138"/>
    </row>
    <row r="933" spans="4:24" ht="12.75" customHeight="1" x14ac:dyDescent="0.25">
      <c r="D933" s="138"/>
      <c r="E933" s="138"/>
      <c r="L933" s="138"/>
      <c r="O933" s="138"/>
      <c r="R933" s="138"/>
      <c r="U933" s="138"/>
      <c r="X933" s="138"/>
    </row>
    <row r="934" spans="4:24" ht="12.75" customHeight="1" x14ac:dyDescent="0.25">
      <c r="D934" s="138"/>
      <c r="E934" s="138"/>
      <c r="L934" s="138"/>
      <c r="O934" s="138"/>
      <c r="R934" s="138"/>
      <c r="U934" s="138"/>
      <c r="X934" s="138"/>
    </row>
    <row r="935" spans="4:24" ht="12.75" customHeight="1" x14ac:dyDescent="0.25">
      <c r="D935" s="138"/>
      <c r="E935" s="138"/>
      <c r="L935" s="138"/>
      <c r="O935" s="138"/>
      <c r="R935" s="138"/>
      <c r="U935" s="138"/>
      <c r="X935" s="138"/>
    </row>
    <row r="936" spans="4:24" ht="12.75" customHeight="1" x14ac:dyDescent="0.25">
      <c r="D936" s="138"/>
      <c r="E936" s="138"/>
      <c r="L936" s="138"/>
      <c r="O936" s="138"/>
      <c r="R936" s="138"/>
      <c r="U936" s="138"/>
      <c r="X936" s="138"/>
    </row>
    <row r="937" spans="4:24" ht="12.75" customHeight="1" x14ac:dyDescent="0.25">
      <c r="D937" s="138"/>
      <c r="E937" s="138"/>
      <c r="L937" s="138"/>
      <c r="O937" s="138"/>
      <c r="R937" s="138"/>
      <c r="U937" s="138"/>
      <c r="X937" s="138"/>
    </row>
    <row r="938" spans="4:24" ht="12.75" customHeight="1" x14ac:dyDescent="0.25">
      <c r="D938" s="138"/>
      <c r="E938" s="138"/>
      <c r="L938" s="138"/>
      <c r="O938" s="138"/>
      <c r="R938" s="138"/>
      <c r="U938" s="138"/>
      <c r="X938" s="138"/>
    </row>
    <row r="939" spans="4:24" ht="12.75" customHeight="1" x14ac:dyDescent="0.25">
      <c r="D939" s="138"/>
      <c r="E939" s="138"/>
      <c r="L939" s="138"/>
      <c r="O939" s="138"/>
      <c r="R939" s="138"/>
      <c r="U939" s="138"/>
      <c r="X939" s="138"/>
    </row>
    <row r="940" spans="4:24" ht="12.75" customHeight="1" x14ac:dyDescent="0.25">
      <c r="D940" s="138"/>
      <c r="E940" s="138"/>
      <c r="L940" s="138"/>
      <c r="O940" s="138"/>
      <c r="R940" s="138"/>
      <c r="U940" s="138"/>
      <c r="X940" s="138"/>
    </row>
    <row r="941" spans="4:24" ht="12.75" customHeight="1" x14ac:dyDescent="0.25">
      <c r="D941" s="138"/>
      <c r="E941" s="138"/>
      <c r="L941" s="138"/>
      <c r="O941" s="138"/>
      <c r="R941" s="138"/>
      <c r="U941" s="138"/>
      <c r="X941" s="138"/>
    </row>
    <row r="942" spans="4:24" ht="12.75" customHeight="1" x14ac:dyDescent="0.25">
      <c r="D942" s="138"/>
      <c r="E942" s="138"/>
      <c r="L942" s="138"/>
      <c r="O942" s="138"/>
      <c r="R942" s="138"/>
      <c r="U942" s="138"/>
      <c r="X942" s="138"/>
    </row>
    <row r="943" spans="4:24" ht="12.75" customHeight="1" x14ac:dyDescent="0.25">
      <c r="D943" s="138"/>
      <c r="E943" s="138"/>
      <c r="L943" s="138"/>
      <c r="O943" s="138"/>
      <c r="R943" s="138"/>
      <c r="U943" s="138"/>
      <c r="X943" s="138"/>
    </row>
    <row r="944" spans="4:24" ht="12.75" customHeight="1" x14ac:dyDescent="0.25">
      <c r="D944" s="138"/>
      <c r="E944" s="138"/>
      <c r="L944" s="138"/>
      <c r="O944" s="138"/>
      <c r="R944" s="138"/>
      <c r="U944" s="138"/>
      <c r="X944" s="138"/>
    </row>
    <row r="945" spans="4:24" ht="12.75" customHeight="1" x14ac:dyDescent="0.25">
      <c r="D945" s="138"/>
      <c r="E945" s="138"/>
      <c r="L945" s="138"/>
      <c r="O945" s="138"/>
      <c r="R945" s="138"/>
      <c r="U945" s="138"/>
      <c r="X945" s="138"/>
    </row>
    <row r="946" spans="4:24" ht="12.75" customHeight="1" x14ac:dyDescent="0.25">
      <c r="D946" s="138"/>
      <c r="E946" s="138"/>
      <c r="L946" s="138"/>
      <c r="O946" s="138"/>
      <c r="R946" s="138"/>
      <c r="U946" s="138"/>
      <c r="X946" s="138"/>
    </row>
    <row r="947" spans="4:24" ht="12.75" customHeight="1" x14ac:dyDescent="0.25">
      <c r="D947" s="138"/>
      <c r="E947" s="138"/>
      <c r="L947" s="138"/>
      <c r="O947" s="138"/>
      <c r="R947" s="138"/>
      <c r="U947" s="138"/>
      <c r="X947" s="138"/>
    </row>
    <row r="948" spans="4:24" ht="12.75" customHeight="1" x14ac:dyDescent="0.25">
      <c r="D948" s="138"/>
      <c r="E948" s="138"/>
      <c r="L948" s="138"/>
      <c r="O948" s="138"/>
      <c r="R948" s="138"/>
      <c r="U948" s="138"/>
      <c r="X948" s="138"/>
    </row>
    <row r="949" spans="4:24" ht="12.75" customHeight="1" x14ac:dyDescent="0.25">
      <c r="D949" s="138"/>
      <c r="E949" s="138"/>
      <c r="L949" s="138"/>
      <c r="O949" s="138"/>
      <c r="R949" s="138"/>
      <c r="U949" s="138"/>
      <c r="X949" s="138"/>
    </row>
    <row r="950" spans="4:24" ht="12.75" customHeight="1" x14ac:dyDescent="0.25">
      <c r="D950" s="138"/>
      <c r="E950" s="138"/>
      <c r="L950" s="138"/>
      <c r="O950" s="138"/>
      <c r="R950" s="138"/>
      <c r="U950" s="138"/>
      <c r="X950" s="138"/>
    </row>
    <row r="951" spans="4:24" ht="12.75" customHeight="1" x14ac:dyDescent="0.25">
      <c r="D951" s="138"/>
      <c r="E951" s="138"/>
      <c r="L951" s="138"/>
      <c r="O951" s="138"/>
      <c r="R951" s="138"/>
      <c r="U951" s="138"/>
      <c r="X951" s="138"/>
    </row>
    <row r="952" spans="4:24" ht="12.75" customHeight="1" x14ac:dyDescent="0.25">
      <c r="D952" s="138"/>
      <c r="E952" s="138"/>
      <c r="L952" s="138"/>
      <c r="O952" s="138"/>
      <c r="R952" s="138"/>
      <c r="U952" s="138"/>
      <c r="X952" s="138"/>
    </row>
    <row r="953" spans="4:24" ht="12.75" customHeight="1" x14ac:dyDescent="0.25">
      <c r="D953" s="138"/>
      <c r="E953" s="138"/>
      <c r="L953" s="138"/>
      <c r="O953" s="138"/>
      <c r="R953" s="138"/>
      <c r="U953" s="138"/>
      <c r="X953" s="138"/>
    </row>
    <row r="954" spans="4:24" ht="12.75" customHeight="1" x14ac:dyDescent="0.25">
      <c r="D954" s="138"/>
      <c r="E954" s="138"/>
      <c r="L954" s="138"/>
      <c r="O954" s="138"/>
      <c r="R954" s="138"/>
      <c r="U954" s="138"/>
      <c r="X954" s="138"/>
    </row>
    <row r="955" spans="4:24" ht="12.75" customHeight="1" x14ac:dyDescent="0.25">
      <c r="D955" s="138"/>
      <c r="E955" s="138"/>
      <c r="L955" s="138"/>
      <c r="O955" s="138"/>
      <c r="R955" s="138"/>
      <c r="U955" s="138"/>
      <c r="X955" s="138"/>
    </row>
    <row r="956" spans="4:24" ht="12.75" customHeight="1" x14ac:dyDescent="0.25">
      <c r="D956" s="138"/>
      <c r="E956" s="138"/>
      <c r="L956" s="138"/>
      <c r="O956" s="138"/>
      <c r="R956" s="138"/>
      <c r="U956" s="138"/>
      <c r="X956" s="138"/>
    </row>
    <row r="957" spans="4:24" ht="12.75" customHeight="1" x14ac:dyDescent="0.25">
      <c r="D957" s="138"/>
      <c r="E957" s="138"/>
      <c r="L957" s="138"/>
      <c r="O957" s="138"/>
      <c r="R957" s="138"/>
      <c r="U957" s="138"/>
      <c r="X957" s="138"/>
    </row>
    <row r="958" spans="4:24" ht="12.75" customHeight="1" x14ac:dyDescent="0.25">
      <c r="D958" s="138"/>
      <c r="E958" s="138"/>
      <c r="L958" s="138"/>
      <c r="O958" s="138"/>
      <c r="R958" s="138"/>
      <c r="U958" s="138"/>
      <c r="X958" s="138"/>
    </row>
    <row r="959" spans="4:24" ht="12.75" customHeight="1" x14ac:dyDescent="0.25">
      <c r="D959" s="138"/>
      <c r="E959" s="138"/>
      <c r="L959" s="138"/>
      <c r="O959" s="138"/>
      <c r="R959" s="138"/>
      <c r="U959" s="138"/>
      <c r="X959" s="138"/>
    </row>
    <row r="960" spans="4:24" ht="12.75" customHeight="1" x14ac:dyDescent="0.25">
      <c r="D960" s="138"/>
      <c r="E960" s="138"/>
      <c r="L960" s="138"/>
      <c r="O960" s="138"/>
      <c r="R960" s="138"/>
      <c r="U960" s="138"/>
      <c r="X960" s="138"/>
    </row>
    <row r="961" spans="4:24" ht="12.75" customHeight="1" x14ac:dyDescent="0.25">
      <c r="D961" s="138"/>
      <c r="E961" s="138"/>
      <c r="L961" s="138"/>
      <c r="O961" s="138"/>
      <c r="R961" s="138"/>
      <c r="U961" s="138"/>
      <c r="X961" s="138"/>
    </row>
    <row r="962" spans="4:24" ht="12.75" customHeight="1" x14ac:dyDescent="0.25">
      <c r="D962" s="138"/>
      <c r="E962" s="138"/>
      <c r="L962" s="138"/>
      <c r="O962" s="138"/>
      <c r="R962" s="138"/>
      <c r="U962" s="138"/>
      <c r="X962" s="138"/>
    </row>
    <row r="963" spans="4:24" ht="12.75" customHeight="1" x14ac:dyDescent="0.25">
      <c r="D963" s="138"/>
      <c r="E963" s="138"/>
      <c r="L963" s="138"/>
      <c r="O963" s="138"/>
      <c r="R963" s="138"/>
      <c r="U963" s="138"/>
      <c r="X963" s="138"/>
    </row>
    <row r="964" spans="4:24" ht="12.75" customHeight="1" x14ac:dyDescent="0.25">
      <c r="D964" s="138"/>
      <c r="E964" s="138"/>
      <c r="L964" s="138"/>
      <c r="O964" s="138"/>
      <c r="R964" s="138"/>
      <c r="U964" s="138"/>
      <c r="X964" s="138"/>
    </row>
    <row r="965" spans="4:24" ht="12.75" customHeight="1" x14ac:dyDescent="0.25">
      <c r="D965" s="138"/>
      <c r="E965" s="138"/>
      <c r="L965" s="138"/>
      <c r="O965" s="138"/>
      <c r="R965" s="138"/>
      <c r="U965" s="138"/>
      <c r="X965" s="138"/>
    </row>
    <row r="966" spans="4:24" ht="12.75" customHeight="1" x14ac:dyDescent="0.25">
      <c r="D966" s="138"/>
      <c r="E966" s="138"/>
      <c r="L966" s="138"/>
      <c r="O966" s="138"/>
      <c r="R966" s="138"/>
      <c r="U966" s="138"/>
      <c r="X966" s="138"/>
    </row>
    <row r="967" spans="4:24" ht="12.75" customHeight="1" x14ac:dyDescent="0.25">
      <c r="D967" s="138"/>
      <c r="E967" s="138"/>
      <c r="L967" s="138"/>
      <c r="O967" s="138"/>
      <c r="R967" s="138"/>
      <c r="U967" s="138"/>
      <c r="X967" s="138"/>
    </row>
    <row r="968" spans="4:24" ht="12.75" customHeight="1" x14ac:dyDescent="0.25">
      <c r="D968" s="138"/>
      <c r="E968" s="138"/>
      <c r="L968" s="138"/>
      <c r="O968" s="138"/>
      <c r="R968" s="138"/>
      <c r="U968" s="138"/>
      <c r="X968" s="138"/>
    </row>
    <row r="969" spans="4:24" ht="12.75" customHeight="1" x14ac:dyDescent="0.25">
      <c r="D969" s="138"/>
      <c r="E969" s="138"/>
      <c r="L969" s="138"/>
      <c r="O969" s="138"/>
      <c r="R969" s="138"/>
      <c r="U969" s="138"/>
      <c r="X969" s="138"/>
    </row>
    <row r="970" spans="4:24" ht="12.75" customHeight="1" x14ac:dyDescent="0.25">
      <c r="D970" s="138"/>
      <c r="E970" s="138"/>
      <c r="L970" s="138"/>
      <c r="O970" s="138"/>
      <c r="R970" s="138"/>
      <c r="U970" s="138"/>
      <c r="X970" s="138"/>
    </row>
    <row r="971" spans="4:24" ht="12.75" customHeight="1" x14ac:dyDescent="0.25">
      <c r="D971" s="138"/>
      <c r="E971" s="138"/>
      <c r="L971" s="138"/>
      <c r="O971" s="138"/>
      <c r="R971" s="138"/>
      <c r="U971" s="138"/>
      <c r="X971" s="138"/>
    </row>
    <row r="972" spans="4:24" ht="12.75" customHeight="1" x14ac:dyDescent="0.25">
      <c r="D972" s="138"/>
      <c r="E972" s="138"/>
      <c r="L972" s="138"/>
      <c r="O972" s="138"/>
      <c r="R972" s="138"/>
      <c r="U972" s="138"/>
      <c r="X972" s="138"/>
    </row>
    <row r="973" spans="4:24" ht="12.75" customHeight="1" x14ac:dyDescent="0.25">
      <c r="D973" s="138"/>
      <c r="E973" s="138"/>
      <c r="L973" s="138"/>
      <c r="O973" s="138"/>
      <c r="R973" s="138"/>
      <c r="U973" s="138"/>
      <c r="X973" s="138"/>
    </row>
    <row r="974" spans="4:24" ht="12.75" customHeight="1" x14ac:dyDescent="0.25">
      <c r="D974" s="138"/>
      <c r="E974" s="138"/>
      <c r="L974" s="138"/>
      <c r="O974" s="138"/>
      <c r="R974" s="138"/>
      <c r="U974" s="138"/>
      <c r="X974" s="138"/>
    </row>
    <row r="975" spans="4:24" ht="12.75" customHeight="1" x14ac:dyDescent="0.25">
      <c r="D975" s="138"/>
      <c r="E975" s="138"/>
      <c r="L975" s="138"/>
      <c r="O975" s="138"/>
      <c r="R975" s="138"/>
      <c r="U975" s="138"/>
      <c r="X975" s="138"/>
    </row>
    <row r="976" spans="4:24" ht="12.75" customHeight="1" x14ac:dyDescent="0.25">
      <c r="D976" s="138"/>
      <c r="E976" s="138"/>
      <c r="L976" s="138"/>
      <c r="O976" s="138"/>
      <c r="R976" s="138"/>
      <c r="U976" s="138"/>
      <c r="X976" s="138"/>
    </row>
    <row r="977" spans="4:24" ht="12.75" customHeight="1" x14ac:dyDescent="0.25">
      <c r="D977" s="138"/>
      <c r="E977" s="138"/>
      <c r="L977" s="138"/>
      <c r="O977" s="138"/>
      <c r="R977" s="138"/>
      <c r="U977" s="138"/>
      <c r="X977" s="138"/>
    </row>
    <row r="978" spans="4:24" ht="12.75" customHeight="1" x14ac:dyDescent="0.25">
      <c r="D978" s="138"/>
      <c r="E978" s="138"/>
      <c r="L978" s="138"/>
      <c r="O978" s="138"/>
      <c r="R978" s="138"/>
      <c r="U978" s="138"/>
      <c r="X978" s="138"/>
    </row>
    <row r="979" spans="4:24" ht="12.75" customHeight="1" x14ac:dyDescent="0.25">
      <c r="D979" s="138"/>
      <c r="E979" s="138"/>
      <c r="L979" s="138"/>
      <c r="O979" s="138"/>
      <c r="R979" s="138"/>
      <c r="U979" s="138"/>
      <c r="X979" s="138"/>
    </row>
    <row r="980" spans="4:24" ht="12.75" customHeight="1" x14ac:dyDescent="0.25">
      <c r="D980" s="138"/>
      <c r="E980" s="138"/>
      <c r="L980" s="138"/>
      <c r="O980" s="138"/>
      <c r="R980" s="138"/>
      <c r="U980" s="138"/>
      <c r="X980" s="138"/>
    </row>
    <row r="981" spans="4:24" ht="12.75" customHeight="1" x14ac:dyDescent="0.25">
      <c r="D981" s="138"/>
      <c r="E981" s="138"/>
      <c r="L981" s="138"/>
      <c r="O981" s="138"/>
      <c r="R981" s="138"/>
      <c r="U981" s="138"/>
      <c r="X981" s="138"/>
    </row>
    <row r="982" spans="4:24" ht="12.75" customHeight="1" x14ac:dyDescent="0.25">
      <c r="D982" s="138"/>
      <c r="E982" s="138"/>
      <c r="L982" s="138"/>
      <c r="O982" s="138"/>
      <c r="R982" s="138"/>
      <c r="U982" s="138"/>
      <c r="X982" s="138"/>
    </row>
    <row r="983" spans="4:24" ht="12.75" customHeight="1" x14ac:dyDescent="0.25">
      <c r="D983" s="138"/>
      <c r="E983" s="138"/>
      <c r="L983" s="138"/>
      <c r="O983" s="138"/>
      <c r="R983" s="138"/>
      <c r="U983" s="138"/>
      <c r="X983" s="138"/>
    </row>
    <row r="984" spans="4:24" ht="12.75" customHeight="1" x14ac:dyDescent="0.25">
      <c r="D984" s="138"/>
      <c r="E984" s="138"/>
      <c r="L984" s="138"/>
      <c r="O984" s="138"/>
      <c r="R984" s="138"/>
      <c r="U984" s="138"/>
      <c r="X984" s="138"/>
    </row>
    <row r="985" spans="4:24" ht="12.75" customHeight="1" x14ac:dyDescent="0.25">
      <c r="D985" s="138"/>
      <c r="E985" s="138"/>
      <c r="L985" s="138"/>
      <c r="O985" s="138"/>
      <c r="R985" s="138"/>
      <c r="U985" s="138"/>
      <c r="X985" s="138"/>
    </row>
    <row r="986" spans="4:24" ht="12.75" customHeight="1" x14ac:dyDescent="0.25">
      <c r="D986" s="138"/>
      <c r="E986" s="138"/>
      <c r="L986" s="138"/>
      <c r="O986" s="138"/>
      <c r="R986" s="138"/>
      <c r="U986" s="138"/>
      <c r="X986" s="138"/>
    </row>
    <row r="987" spans="4:24" ht="12.75" customHeight="1" x14ac:dyDescent="0.25">
      <c r="D987" s="138"/>
      <c r="E987" s="138"/>
      <c r="L987" s="138"/>
      <c r="O987" s="138"/>
      <c r="R987" s="138"/>
      <c r="U987" s="138"/>
      <c r="X987" s="138"/>
    </row>
    <row r="988" spans="4:24" ht="12.75" customHeight="1" x14ac:dyDescent="0.25">
      <c r="D988" s="138"/>
      <c r="E988" s="138"/>
      <c r="L988" s="138"/>
      <c r="O988" s="138"/>
      <c r="R988" s="138"/>
      <c r="U988" s="138"/>
      <c r="X988" s="138"/>
    </row>
    <row r="989" spans="4:24" ht="12.75" customHeight="1" x14ac:dyDescent="0.25">
      <c r="D989" s="138"/>
      <c r="E989" s="138"/>
      <c r="L989" s="138"/>
      <c r="O989" s="138"/>
      <c r="R989" s="138"/>
      <c r="U989" s="138"/>
      <c r="X989" s="138"/>
    </row>
    <row r="990" spans="4:24" ht="12.75" customHeight="1" x14ac:dyDescent="0.25">
      <c r="D990" s="138"/>
      <c r="E990" s="138"/>
      <c r="L990" s="138"/>
      <c r="O990" s="138"/>
      <c r="R990" s="138"/>
      <c r="U990" s="138"/>
      <c r="X990" s="138"/>
    </row>
    <row r="991" spans="4:24" ht="12.75" customHeight="1" x14ac:dyDescent="0.25">
      <c r="D991" s="138"/>
      <c r="E991" s="138"/>
      <c r="L991" s="138"/>
      <c r="O991" s="138"/>
      <c r="R991" s="138"/>
      <c r="U991" s="138"/>
      <c r="X991" s="138"/>
    </row>
    <row r="992" spans="4:24" ht="12.75" customHeight="1" x14ac:dyDescent="0.25">
      <c r="D992" s="138"/>
      <c r="E992" s="138"/>
      <c r="L992" s="138"/>
      <c r="O992" s="138"/>
      <c r="R992" s="138"/>
      <c r="U992" s="138"/>
      <c r="X992" s="138"/>
    </row>
    <row r="993" spans="4:24" ht="12.75" customHeight="1" x14ac:dyDescent="0.25">
      <c r="D993" s="138"/>
      <c r="E993" s="138"/>
      <c r="L993" s="138"/>
      <c r="O993" s="138"/>
      <c r="R993" s="138"/>
      <c r="U993" s="138"/>
      <c r="X993" s="138"/>
    </row>
    <row r="994" spans="4:24" ht="12.75" customHeight="1" x14ac:dyDescent="0.25">
      <c r="D994" s="138"/>
      <c r="E994" s="138"/>
      <c r="L994" s="138"/>
      <c r="O994" s="138"/>
      <c r="R994" s="138"/>
      <c r="U994" s="138"/>
      <c r="X994" s="138"/>
    </row>
    <row r="995" spans="4:24" ht="12.75" customHeight="1" x14ac:dyDescent="0.25">
      <c r="D995" s="138"/>
      <c r="E995" s="138"/>
      <c r="L995" s="138"/>
      <c r="O995" s="138"/>
      <c r="R995" s="138"/>
      <c r="U995" s="138"/>
      <c r="X995" s="138"/>
    </row>
    <row r="996" spans="4:24" ht="12.75" customHeight="1" x14ac:dyDescent="0.25">
      <c r="D996" s="138"/>
      <c r="E996" s="138"/>
      <c r="L996" s="138"/>
      <c r="O996" s="138"/>
      <c r="R996" s="138"/>
      <c r="U996" s="138"/>
      <c r="X996" s="138"/>
    </row>
    <row r="997" spans="4:24" ht="12.75" customHeight="1" x14ac:dyDescent="0.25">
      <c r="D997" s="138"/>
      <c r="E997" s="138"/>
      <c r="L997" s="138"/>
      <c r="O997" s="138"/>
      <c r="R997" s="138"/>
      <c r="U997" s="138"/>
      <c r="X997" s="138"/>
    </row>
    <row r="998" spans="4:24" ht="12.75" customHeight="1" x14ac:dyDescent="0.25">
      <c r="D998" s="138"/>
      <c r="E998" s="138"/>
      <c r="L998" s="138"/>
      <c r="O998" s="138"/>
      <c r="R998" s="138"/>
      <c r="U998" s="138"/>
      <c r="X998" s="138"/>
    </row>
    <row r="999" spans="4:24" ht="12.75" customHeight="1" x14ac:dyDescent="0.25">
      <c r="D999" s="138"/>
      <c r="E999" s="138"/>
      <c r="L999" s="138"/>
      <c r="O999" s="138"/>
      <c r="R999" s="138"/>
      <c r="U999" s="138"/>
      <c r="X999" s="138"/>
    </row>
    <row r="1000" spans="4:24" ht="12.75" customHeight="1" x14ac:dyDescent="0.25">
      <c r="D1000" s="138"/>
      <c r="E1000" s="138"/>
      <c r="L1000" s="138"/>
      <c r="O1000" s="138"/>
      <c r="R1000" s="138"/>
      <c r="U1000" s="138"/>
      <c r="X1000" s="138"/>
    </row>
  </sheetData>
  <pageMargins left="0.7" right="0.7" top="0.75" bottom="0.75" header="0" footer="0"/>
  <pageSetup orientation="landscape"/>
  <headerFooter>
    <oddHeader>&amp;C&amp;F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X1000"/>
  <sheetViews>
    <sheetView workbookViewId="0">
      <pane xSplit="21" ySplit="167" topLeftCell="V168" activePane="bottomRight" state="frozen"/>
      <selection pane="topRight" activeCell="V1" sqref="V1"/>
      <selection pane="bottomLeft" activeCell="A168" sqref="A168"/>
      <selection pane="bottomRight" activeCell="V168" sqref="V168"/>
    </sheetView>
  </sheetViews>
  <sheetFormatPr baseColWidth="10" defaultColWidth="14.44140625" defaultRowHeight="15" customHeight="1" x14ac:dyDescent="0.25"/>
  <cols>
    <col min="1" max="1" width="14.77734375" customWidth="1"/>
    <col min="2" max="2" width="21.6640625" customWidth="1"/>
    <col min="3" max="3" width="28.44140625" customWidth="1"/>
    <col min="4" max="4" width="7.6640625" customWidth="1"/>
    <col min="5" max="5" width="8" customWidth="1"/>
    <col min="6" max="6" width="5.33203125" customWidth="1"/>
    <col min="7" max="7" width="12.33203125" customWidth="1"/>
    <col min="8" max="8" width="18.33203125" customWidth="1"/>
    <col min="9" max="9" width="2.6640625" customWidth="1"/>
    <col min="10" max="10" width="4.109375" hidden="1" customWidth="1"/>
    <col min="11" max="11" width="10" hidden="1" customWidth="1"/>
    <col min="12" max="12" width="5.6640625" hidden="1" customWidth="1"/>
    <col min="13" max="13" width="6.6640625" hidden="1" customWidth="1"/>
    <col min="14" max="14" width="10" hidden="1" customWidth="1"/>
    <col min="15" max="15" width="7.109375" hidden="1" customWidth="1"/>
    <col min="16" max="16" width="6.6640625" hidden="1" customWidth="1"/>
    <col min="17" max="17" width="10.6640625" hidden="1" customWidth="1"/>
    <col min="18" max="19" width="6.6640625" hidden="1" customWidth="1"/>
    <col min="20" max="20" width="10.6640625" hidden="1" customWidth="1"/>
    <col min="21" max="21" width="6.44140625" hidden="1" customWidth="1"/>
    <col min="22" max="22" width="6.6640625" customWidth="1"/>
    <col min="23" max="26" width="8" customWidth="1"/>
  </cols>
  <sheetData>
    <row r="1" spans="2:24" ht="12.75" customHeight="1" x14ac:dyDescent="0.25">
      <c r="B1" s="96"/>
      <c r="C1" s="96"/>
      <c r="D1" s="97"/>
      <c r="E1" s="97"/>
      <c r="F1" s="96"/>
      <c r="G1" s="96"/>
      <c r="H1" s="96"/>
      <c r="L1" s="138"/>
      <c r="O1" s="138"/>
      <c r="R1" s="138"/>
      <c r="U1" s="138"/>
      <c r="X1" s="138"/>
    </row>
    <row r="2" spans="2:24" ht="12.75" customHeight="1" x14ac:dyDescent="0.25">
      <c r="B2" s="96"/>
      <c r="C2" s="96"/>
      <c r="D2" s="97"/>
      <c r="E2" s="97"/>
      <c r="F2" s="96"/>
      <c r="G2" s="96"/>
      <c r="H2" s="96"/>
      <c r="L2" s="138"/>
      <c r="O2" s="138"/>
      <c r="R2" s="138"/>
      <c r="U2" s="138"/>
      <c r="X2" s="138"/>
    </row>
    <row r="3" spans="2:24" ht="12.75" customHeight="1" x14ac:dyDescent="0.25">
      <c r="B3" s="96"/>
      <c r="C3" s="96"/>
      <c r="D3" s="97"/>
      <c r="E3" s="97"/>
      <c r="F3" s="96"/>
      <c r="G3" s="96"/>
      <c r="H3" s="96"/>
      <c r="L3" s="138"/>
      <c r="O3" s="138"/>
      <c r="R3" s="138"/>
      <c r="U3" s="138"/>
      <c r="X3" s="138"/>
    </row>
    <row r="4" spans="2:24" ht="12.75" customHeight="1" x14ac:dyDescent="0.25">
      <c r="B4" s="96"/>
      <c r="C4" s="96"/>
      <c r="D4" s="97"/>
      <c r="E4" s="97"/>
      <c r="F4" s="96"/>
      <c r="G4" s="96"/>
      <c r="H4" s="96"/>
      <c r="L4" s="138"/>
      <c r="O4" s="138"/>
      <c r="R4" s="138"/>
      <c r="U4" s="138"/>
      <c r="X4" s="138"/>
    </row>
    <row r="5" spans="2:24" ht="12.75" customHeight="1" x14ac:dyDescent="0.25">
      <c r="B5" s="96"/>
      <c r="C5" s="96"/>
      <c r="D5" s="97"/>
      <c r="E5" s="97"/>
      <c r="F5" s="96"/>
      <c r="G5" s="96"/>
      <c r="H5" s="96"/>
      <c r="L5" s="138"/>
      <c r="O5" s="138"/>
      <c r="R5" s="138"/>
      <c r="U5" s="138"/>
      <c r="X5" s="138"/>
    </row>
    <row r="6" spans="2:24" ht="12.75" customHeight="1" x14ac:dyDescent="0.25">
      <c r="B6" s="96"/>
      <c r="C6" s="96"/>
      <c r="D6" s="97"/>
      <c r="E6" s="97"/>
      <c r="F6" s="96"/>
      <c r="G6" s="96"/>
      <c r="H6" s="96"/>
      <c r="L6" s="138"/>
      <c r="O6" s="138"/>
      <c r="R6" s="138"/>
      <c r="U6" s="138"/>
      <c r="X6" s="138"/>
    </row>
    <row r="7" spans="2:24" ht="12.75" customHeight="1" x14ac:dyDescent="0.25">
      <c r="B7" s="96"/>
      <c r="C7" s="96"/>
      <c r="D7" s="97"/>
      <c r="E7" s="97"/>
      <c r="F7" s="96"/>
      <c r="G7" s="96"/>
      <c r="H7" s="96"/>
      <c r="L7" s="138"/>
      <c r="O7" s="138"/>
      <c r="R7" s="138"/>
      <c r="U7" s="138"/>
      <c r="X7" s="138"/>
    </row>
    <row r="8" spans="2:24" ht="12.75" customHeight="1" x14ac:dyDescent="0.25">
      <c r="B8" s="96"/>
      <c r="C8" s="96"/>
      <c r="D8" s="97"/>
      <c r="E8" s="97"/>
      <c r="F8" s="96"/>
      <c r="G8" s="96"/>
      <c r="H8" s="96"/>
      <c r="L8" s="138"/>
      <c r="O8" s="138"/>
      <c r="R8" s="138"/>
      <c r="U8" s="138"/>
      <c r="X8" s="138"/>
    </row>
    <row r="9" spans="2:24" ht="12.75" customHeight="1" x14ac:dyDescent="0.25">
      <c r="B9" s="96"/>
      <c r="C9" s="96"/>
      <c r="D9" s="97"/>
      <c r="E9" s="97"/>
      <c r="F9" s="96"/>
      <c r="G9" s="96"/>
      <c r="H9" s="96"/>
      <c r="L9" s="138"/>
      <c r="O9" s="138"/>
      <c r="R9" s="138"/>
      <c r="U9" s="138"/>
      <c r="X9" s="138"/>
    </row>
    <row r="10" spans="2:24" ht="12.75" customHeight="1" x14ac:dyDescent="0.25">
      <c r="B10" s="96"/>
      <c r="C10" s="96"/>
      <c r="D10" s="97"/>
      <c r="E10" s="97"/>
      <c r="F10" s="96"/>
      <c r="G10" s="96"/>
      <c r="H10" s="96"/>
      <c r="L10" s="138"/>
      <c r="O10" s="138"/>
      <c r="R10" s="138"/>
      <c r="U10" s="138"/>
      <c r="X10" s="138"/>
    </row>
    <row r="11" spans="2:24" ht="12.75" customHeight="1" x14ac:dyDescent="0.25">
      <c r="B11" s="96"/>
      <c r="C11" s="96"/>
      <c r="D11" s="97"/>
      <c r="E11" s="97"/>
      <c r="F11" s="96"/>
      <c r="G11" s="96"/>
      <c r="H11" s="96"/>
      <c r="L11" s="138"/>
      <c r="O11" s="138"/>
      <c r="R11" s="138"/>
      <c r="U11" s="138"/>
      <c r="X11" s="138"/>
    </row>
    <row r="12" spans="2:24" ht="12.75" customHeight="1" x14ac:dyDescent="0.25">
      <c r="B12" s="96"/>
      <c r="C12" s="96"/>
      <c r="D12" s="97"/>
      <c r="E12" s="97"/>
      <c r="F12" s="96"/>
      <c r="G12" s="96"/>
      <c r="H12" s="96"/>
      <c r="L12" s="138"/>
      <c r="O12" s="138"/>
      <c r="R12" s="138"/>
      <c r="U12" s="138"/>
      <c r="X12" s="138"/>
    </row>
    <row r="13" spans="2:24" ht="12.75" customHeight="1" x14ac:dyDescent="0.25">
      <c r="B13" s="96"/>
      <c r="C13" s="96"/>
      <c r="D13" s="97"/>
      <c r="E13" s="97"/>
      <c r="F13" s="96"/>
      <c r="G13" s="96"/>
      <c r="H13" s="96"/>
      <c r="L13" s="138"/>
      <c r="O13" s="138"/>
      <c r="R13" s="138"/>
      <c r="U13" s="138"/>
      <c r="X13" s="138"/>
    </row>
    <row r="14" spans="2:24" ht="12.75" customHeight="1" x14ac:dyDescent="0.25">
      <c r="B14" s="96"/>
      <c r="C14" s="96"/>
      <c r="D14" s="97"/>
      <c r="E14" s="97"/>
      <c r="F14" s="96"/>
      <c r="G14" s="96"/>
      <c r="H14" s="96"/>
      <c r="L14" s="138"/>
      <c r="O14" s="138"/>
      <c r="R14" s="138"/>
      <c r="U14" s="138"/>
      <c r="X14" s="138"/>
    </row>
    <row r="15" spans="2:24" ht="12.75" customHeight="1" x14ac:dyDescent="0.25">
      <c r="B15" s="96"/>
      <c r="C15" s="96"/>
      <c r="D15" s="97"/>
      <c r="E15" s="97"/>
      <c r="F15" s="96"/>
      <c r="G15" s="96"/>
      <c r="H15" s="96"/>
      <c r="L15" s="138"/>
      <c r="O15" s="138"/>
      <c r="R15" s="138"/>
      <c r="U15" s="138"/>
      <c r="X15" s="138"/>
    </row>
    <row r="16" spans="2:24" ht="12.75" customHeight="1" x14ac:dyDescent="0.25">
      <c r="B16" s="96"/>
      <c r="C16" s="96"/>
      <c r="D16" s="97"/>
      <c r="E16" s="97"/>
      <c r="F16" s="96"/>
      <c r="G16" s="96"/>
      <c r="H16" s="96"/>
      <c r="L16" s="138"/>
      <c r="O16" s="138"/>
      <c r="R16" s="138"/>
      <c r="U16" s="138"/>
      <c r="X16" s="138"/>
    </row>
    <row r="17" spans="2:24" ht="12.75" customHeight="1" x14ac:dyDescent="0.25">
      <c r="B17" s="96"/>
      <c r="C17" s="96"/>
      <c r="D17" s="97"/>
      <c r="E17" s="97"/>
      <c r="F17" s="96"/>
      <c r="G17" s="96"/>
      <c r="H17" s="96"/>
      <c r="L17" s="138"/>
      <c r="O17" s="138"/>
      <c r="R17" s="138"/>
      <c r="U17" s="138"/>
      <c r="X17" s="138"/>
    </row>
    <row r="18" spans="2:24" ht="12.75" customHeight="1" x14ac:dyDescent="0.25">
      <c r="B18" s="96"/>
      <c r="C18" s="96"/>
      <c r="D18" s="97"/>
      <c r="E18" s="97"/>
      <c r="F18" s="96"/>
      <c r="G18" s="96"/>
      <c r="H18" s="96"/>
      <c r="L18" s="138"/>
      <c r="O18" s="138"/>
      <c r="R18" s="138"/>
      <c r="U18" s="138"/>
      <c r="X18" s="138"/>
    </row>
    <row r="19" spans="2:24" ht="12.75" customHeight="1" x14ac:dyDescent="0.25">
      <c r="B19" s="96"/>
      <c r="C19" s="96"/>
      <c r="D19" s="97"/>
      <c r="E19" s="97"/>
      <c r="F19" s="96"/>
      <c r="G19" s="96"/>
      <c r="H19" s="96"/>
      <c r="L19" s="138"/>
      <c r="O19" s="138"/>
      <c r="R19" s="138"/>
      <c r="U19" s="138"/>
      <c r="X19" s="138"/>
    </row>
    <row r="20" spans="2:24" ht="12.75" customHeight="1" x14ac:dyDescent="0.25">
      <c r="B20" s="96"/>
      <c r="C20" s="96"/>
      <c r="D20" s="97"/>
      <c r="E20" s="97"/>
      <c r="F20" s="96"/>
      <c r="G20" s="96"/>
      <c r="H20" s="96"/>
      <c r="L20" s="138"/>
      <c r="O20" s="138"/>
      <c r="R20" s="138"/>
      <c r="U20" s="138"/>
      <c r="X20" s="138"/>
    </row>
    <row r="21" spans="2:24" ht="12.75" customHeight="1" x14ac:dyDescent="0.25">
      <c r="B21" s="96"/>
      <c r="C21" s="96"/>
      <c r="D21" s="97"/>
      <c r="E21" s="97"/>
      <c r="F21" s="96"/>
      <c r="G21" s="96"/>
      <c r="H21" s="96"/>
      <c r="L21" s="138"/>
      <c r="O21" s="138"/>
      <c r="R21" s="138"/>
      <c r="U21" s="138"/>
      <c r="X21" s="138"/>
    </row>
    <row r="22" spans="2:24" ht="12.75" customHeight="1" x14ac:dyDescent="0.25">
      <c r="B22" s="96"/>
      <c r="C22" s="96"/>
      <c r="D22" s="97"/>
      <c r="E22" s="97"/>
      <c r="F22" s="96"/>
      <c r="G22" s="96"/>
      <c r="H22" s="96"/>
      <c r="L22" s="138"/>
      <c r="O22" s="138"/>
      <c r="R22" s="138"/>
      <c r="U22" s="138"/>
      <c r="X22" s="138"/>
    </row>
    <row r="23" spans="2:24" ht="12.75" customHeight="1" x14ac:dyDescent="0.25">
      <c r="B23" s="96"/>
      <c r="C23" s="96"/>
      <c r="D23" s="97"/>
      <c r="E23" s="97"/>
      <c r="F23" s="96"/>
      <c r="G23" s="96"/>
      <c r="H23" s="96"/>
      <c r="L23" s="138"/>
      <c r="O23" s="138"/>
      <c r="R23" s="138"/>
      <c r="U23" s="138"/>
      <c r="X23" s="138"/>
    </row>
    <row r="24" spans="2:24" ht="12.75" customHeight="1" x14ac:dyDescent="0.25">
      <c r="B24" s="96"/>
      <c r="C24" s="96"/>
      <c r="D24" s="97"/>
      <c r="E24" s="97"/>
      <c r="F24" s="96"/>
      <c r="G24" s="96"/>
      <c r="H24" s="96"/>
      <c r="L24" s="138"/>
      <c r="O24" s="138"/>
      <c r="R24" s="138"/>
      <c r="U24" s="138"/>
      <c r="X24" s="138"/>
    </row>
    <row r="25" spans="2:24" ht="12.75" customHeight="1" x14ac:dyDescent="0.25">
      <c r="B25" s="96"/>
      <c r="C25" s="96"/>
      <c r="D25" s="97"/>
      <c r="E25" s="97"/>
      <c r="F25" s="96"/>
      <c r="G25" s="96"/>
      <c r="H25" s="96"/>
      <c r="L25" s="138"/>
      <c r="O25" s="138"/>
      <c r="R25" s="138"/>
      <c r="U25" s="138"/>
      <c r="X25" s="138"/>
    </row>
    <row r="26" spans="2:24" ht="12.75" customHeight="1" x14ac:dyDescent="0.25">
      <c r="B26" s="96"/>
      <c r="C26" s="96"/>
      <c r="D26" s="97"/>
      <c r="E26" s="97"/>
      <c r="F26" s="96"/>
      <c r="G26" s="96"/>
      <c r="H26" s="96"/>
      <c r="L26" s="138"/>
      <c r="O26" s="138"/>
      <c r="R26" s="138"/>
      <c r="U26" s="138"/>
      <c r="X26" s="138"/>
    </row>
    <row r="27" spans="2:24" ht="12.75" customHeight="1" x14ac:dyDescent="0.25">
      <c r="B27" s="96"/>
      <c r="C27" s="96"/>
      <c r="D27" s="97"/>
      <c r="E27" s="97"/>
      <c r="F27" s="96"/>
      <c r="G27" s="96"/>
      <c r="H27" s="96"/>
      <c r="L27" s="138"/>
      <c r="O27" s="138"/>
      <c r="R27" s="138"/>
      <c r="U27" s="138"/>
      <c r="X27" s="138"/>
    </row>
    <row r="28" spans="2:24" ht="12.75" customHeight="1" x14ac:dyDescent="0.25">
      <c r="B28" s="96"/>
      <c r="C28" s="96"/>
      <c r="D28" s="97"/>
      <c r="E28" s="97"/>
      <c r="F28" s="96"/>
      <c r="G28" s="96"/>
      <c r="H28" s="96"/>
      <c r="L28" s="138"/>
      <c r="O28" s="138"/>
      <c r="R28" s="138"/>
      <c r="U28" s="138"/>
      <c r="X28" s="138"/>
    </row>
    <row r="29" spans="2:24" ht="12.75" customHeight="1" x14ac:dyDescent="0.25">
      <c r="B29" s="96"/>
      <c r="C29" s="96"/>
      <c r="D29" s="97"/>
      <c r="E29" s="97"/>
      <c r="F29" s="96"/>
      <c r="G29" s="96"/>
      <c r="H29" s="96"/>
      <c r="L29" s="138"/>
      <c r="O29" s="138"/>
      <c r="R29" s="138"/>
      <c r="U29" s="138"/>
      <c r="X29" s="138"/>
    </row>
    <row r="30" spans="2:24" ht="12.75" customHeight="1" x14ac:dyDescent="0.25">
      <c r="B30" s="96"/>
      <c r="C30" s="96"/>
      <c r="D30" s="97"/>
      <c r="E30" s="97"/>
      <c r="F30" s="96"/>
      <c r="G30" s="96"/>
      <c r="H30" s="96"/>
      <c r="L30" s="138"/>
      <c r="O30" s="138"/>
      <c r="R30" s="138"/>
      <c r="U30" s="138"/>
      <c r="X30" s="138"/>
    </row>
    <row r="31" spans="2:24" ht="12.75" customHeight="1" x14ac:dyDescent="0.25">
      <c r="B31" s="96"/>
      <c r="C31" s="96"/>
      <c r="D31" s="97"/>
      <c r="E31" s="97"/>
      <c r="F31" s="96"/>
      <c r="G31" s="96"/>
      <c r="H31" s="96"/>
      <c r="L31" s="138"/>
      <c r="O31" s="138"/>
      <c r="R31" s="138"/>
      <c r="U31" s="138"/>
      <c r="X31" s="138"/>
    </row>
    <row r="32" spans="2:24" ht="12.75" customHeight="1" x14ac:dyDescent="0.25">
      <c r="B32" s="96"/>
      <c r="C32" s="96"/>
      <c r="D32" s="97"/>
      <c r="E32" s="97"/>
      <c r="F32" s="96"/>
      <c r="G32" s="96"/>
      <c r="H32" s="96"/>
      <c r="L32" s="138"/>
      <c r="O32" s="138"/>
      <c r="R32" s="138"/>
      <c r="U32" s="138"/>
      <c r="X32" s="138"/>
    </row>
    <row r="33" spans="2:24" ht="12.75" customHeight="1" x14ac:dyDescent="0.25">
      <c r="B33" s="96"/>
      <c r="C33" s="96"/>
      <c r="D33" s="97"/>
      <c r="E33" s="97"/>
      <c r="F33" s="96"/>
      <c r="G33" s="96"/>
      <c r="H33" s="96"/>
      <c r="L33" s="138"/>
      <c r="O33" s="138"/>
      <c r="R33" s="138"/>
      <c r="U33" s="138"/>
      <c r="X33" s="138"/>
    </row>
    <row r="34" spans="2:24" ht="12.75" customHeight="1" x14ac:dyDescent="0.25">
      <c r="B34" s="96"/>
      <c r="C34" s="96"/>
      <c r="D34" s="97"/>
      <c r="E34" s="97"/>
      <c r="F34" s="96"/>
      <c r="G34" s="96"/>
      <c r="H34" s="96"/>
      <c r="L34" s="138"/>
      <c r="O34" s="138"/>
      <c r="R34" s="138"/>
      <c r="U34" s="138"/>
      <c r="X34" s="138"/>
    </row>
    <row r="35" spans="2:24" ht="12.75" customHeight="1" x14ac:dyDescent="0.25">
      <c r="B35" s="96"/>
      <c r="C35" s="96"/>
      <c r="D35" s="97"/>
      <c r="E35" s="97"/>
      <c r="F35" s="96"/>
      <c r="G35" s="96"/>
      <c r="H35" s="96"/>
      <c r="L35" s="138"/>
      <c r="O35" s="138"/>
      <c r="R35" s="138"/>
      <c r="U35" s="138"/>
      <c r="X35" s="138"/>
    </row>
    <row r="36" spans="2:24" ht="12.75" customHeight="1" x14ac:dyDescent="0.25">
      <c r="B36" s="96"/>
      <c r="C36" s="96"/>
      <c r="D36" s="97"/>
      <c r="E36" s="97"/>
      <c r="F36" s="96"/>
      <c r="G36" s="96"/>
      <c r="H36" s="96"/>
      <c r="L36" s="138"/>
      <c r="O36" s="138"/>
      <c r="R36" s="138"/>
      <c r="U36" s="138"/>
      <c r="X36" s="138"/>
    </row>
    <row r="37" spans="2:24" ht="12.75" customHeight="1" x14ac:dyDescent="0.25">
      <c r="B37" s="96"/>
      <c r="C37" s="96"/>
      <c r="D37" s="97"/>
      <c r="E37" s="97"/>
      <c r="F37" s="96"/>
      <c r="G37" s="96"/>
      <c r="H37" s="96"/>
      <c r="L37" s="138"/>
      <c r="O37" s="138"/>
      <c r="R37" s="138"/>
      <c r="U37" s="138"/>
      <c r="X37" s="138"/>
    </row>
    <row r="38" spans="2:24" ht="12.75" customHeight="1" x14ac:dyDescent="0.25">
      <c r="B38" s="96"/>
      <c r="C38" s="96"/>
      <c r="D38" s="97"/>
      <c r="E38" s="97"/>
      <c r="F38" s="96"/>
      <c r="G38" s="96"/>
      <c r="H38" s="96"/>
      <c r="L38" s="138"/>
      <c r="O38" s="138"/>
      <c r="R38" s="138"/>
      <c r="U38" s="138"/>
      <c r="X38" s="138"/>
    </row>
    <row r="39" spans="2:24" ht="12.75" customHeight="1" x14ac:dyDescent="0.25">
      <c r="B39" s="96"/>
      <c r="C39" s="96"/>
      <c r="D39" s="97"/>
      <c r="E39" s="97"/>
      <c r="F39" s="96"/>
      <c r="G39" s="96"/>
      <c r="H39" s="96"/>
      <c r="L39" s="138"/>
      <c r="O39" s="138"/>
      <c r="R39" s="138"/>
      <c r="U39" s="138"/>
      <c r="X39" s="138"/>
    </row>
    <row r="40" spans="2:24" ht="12.75" customHeight="1" x14ac:dyDescent="0.25">
      <c r="B40" s="96"/>
      <c r="C40" s="96"/>
      <c r="D40" s="97"/>
      <c r="E40" s="97"/>
      <c r="F40" s="96"/>
      <c r="G40" s="96"/>
      <c r="H40" s="96"/>
      <c r="L40" s="138"/>
      <c r="O40" s="138"/>
      <c r="R40" s="138"/>
      <c r="U40" s="138"/>
      <c r="X40" s="138"/>
    </row>
    <row r="41" spans="2:24" ht="12.75" customHeight="1" x14ac:dyDescent="0.25">
      <c r="B41" s="96"/>
      <c r="C41" s="96"/>
      <c r="D41" s="97"/>
      <c r="E41" s="97"/>
      <c r="F41" s="96"/>
      <c r="G41" s="96"/>
      <c r="H41" s="96"/>
      <c r="L41" s="138"/>
      <c r="O41" s="138"/>
      <c r="R41" s="138"/>
      <c r="U41" s="138"/>
      <c r="X41" s="138"/>
    </row>
    <row r="42" spans="2:24" ht="12.75" customHeight="1" x14ac:dyDescent="0.25">
      <c r="B42" s="96"/>
      <c r="C42" s="96"/>
      <c r="D42" s="97"/>
      <c r="E42" s="97"/>
      <c r="F42" s="96"/>
      <c r="G42" s="96"/>
      <c r="H42" s="96"/>
      <c r="L42" s="138"/>
      <c r="O42" s="138"/>
      <c r="R42" s="138"/>
      <c r="U42" s="138"/>
      <c r="X42" s="138"/>
    </row>
    <row r="43" spans="2:24" ht="12.75" customHeight="1" x14ac:dyDescent="0.25">
      <c r="B43" s="96"/>
      <c r="C43" s="96"/>
      <c r="D43" s="97"/>
      <c r="E43" s="97"/>
      <c r="F43" s="96"/>
      <c r="G43" s="96"/>
      <c r="H43" s="96"/>
      <c r="L43" s="138"/>
      <c r="O43" s="138"/>
      <c r="R43" s="138"/>
      <c r="U43" s="138"/>
      <c r="X43" s="138"/>
    </row>
    <row r="44" spans="2:24" ht="12.75" customHeight="1" x14ac:dyDescent="0.25">
      <c r="B44" s="96"/>
      <c r="C44" s="96"/>
      <c r="D44" s="97"/>
      <c r="E44" s="97"/>
      <c r="F44" s="96"/>
      <c r="G44" s="96"/>
      <c r="H44" s="96"/>
      <c r="L44" s="138"/>
      <c r="O44" s="138"/>
      <c r="R44" s="138"/>
      <c r="U44" s="138"/>
      <c r="X44" s="138"/>
    </row>
    <row r="45" spans="2:24" ht="12.75" customHeight="1" x14ac:dyDescent="0.25">
      <c r="B45" s="96"/>
      <c r="C45" s="96"/>
      <c r="D45" s="97"/>
      <c r="E45" s="97"/>
      <c r="F45" s="96"/>
      <c r="G45" s="96"/>
      <c r="H45" s="96"/>
      <c r="L45" s="138"/>
      <c r="O45" s="138"/>
      <c r="R45" s="138"/>
      <c r="U45" s="138"/>
      <c r="X45" s="138"/>
    </row>
    <row r="46" spans="2:24" ht="12.75" customHeight="1" x14ac:dyDescent="0.25">
      <c r="B46" s="96"/>
      <c r="C46" s="96"/>
      <c r="D46" s="97"/>
      <c r="E46" s="97"/>
      <c r="F46" s="96"/>
      <c r="G46" s="96"/>
      <c r="H46" s="96"/>
      <c r="L46" s="138"/>
      <c r="O46" s="138"/>
      <c r="R46" s="138"/>
      <c r="U46" s="138"/>
      <c r="X46" s="138"/>
    </row>
    <row r="47" spans="2:24" ht="12.75" customHeight="1" x14ac:dyDescent="0.25">
      <c r="B47" s="96"/>
      <c r="C47" s="96"/>
      <c r="D47" s="97"/>
      <c r="E47" s="97"/>
      <c r="F47" s="96"/>
      <c r="G47" s="96"/>
      <c r="H47" s="96"/>
      <c r="L47" s="138"/>
      <c r="O47" s="138"/>
      <c r="R47" s="138"/>
      <c r="U47" s="138"/>
      <c r="X47" s="138"/>
    </row>
    <row r="48" spans="2:24" ht="12.75" customHeight="1" x14ac:dyDescent="0.25">
      <c r="B48" s="96"/>
      <c r="C48" s="96"/>
      <c r="D48" s="97"/>
      <c r="E48" s="97"/>
      <c r="F48" s="96"/>
      <c r="G48" s="96"/>
      <c r="H48" s="96"/>
      <c r="L48" s="138"/>
      <c r="O48" s="138"/>
      <c r="R48" s="138"/>
      <c r="U48" s="138"/>
      <c r="X48" s="138"/>
    </row>
    <row r="49" spans="2:24" ht="12.75" customHeight="1" x14ac:dyDescent="0.25">
      <c r="B49" s="96"/>
      <c r="C49" s="96"/>
      <c r="D49" s="97"/>
      <c r="E49" s="97"/>
      <c r="F49" s="96"/>
      <c r="G49" s="96"/>
      <c r="H49" s="96"/>
      <c r="L49" s="138"/>
      <c r="O49" s="138"/>
      <c r="R49" s="138"/>
      <c r="U49" s="138"/>
      <c r="X49" s="138"/>
    </row>
    <row r="50" spans="2:24" ht="12.75" customHeight="1" x14ac:dyDescent="0.25">
      <c r="B50" s="96"/>
      <c r="C50" s="96"/>
      <c r="D50" s="97"/>
      <c r="E50" s="97"/>
      <c r="F50" s="96"/>
      <c r="G50" s="96"/>
      <c r="H50" s="96"/>
      <c r="L50" s="138"/>
      <c r="O50" s="138"/>
      <c r="R50" s="138"/>
      <c r="U50" s="138"/>
      <c r="X50" s="138"/>
    </row>
    <row r="51" spans="2:24" ht="12.75" customHeight="1" x14ac:dyDescent="0.25">
      <c r="B51" s="96"/>
      <c r="C51" s="96"/>
      <c r="D51" s="97"/>
      <c r="E51" s="97"/>
      <c r="F51" s="96"/>
      <c r="G51" s="96"/>
      <c r="H51" s="96"/>
      <c r="L51" s="138"/>
      <c r="O51" s="138"/>
      <c r="R51" s="138"/>
      <c r="U51" s="138"/>
      <c r="X51" s="138"/>
    </row>
    <row r="52" spans="2:24" ht="12.75" customHeight="1" x14ac:dyDescent="0.25">
      <c r="B52" s="96"/>
      <c r="C52" s="96"/>
      <c r="D52" s="97"/>
      <c r="E52" s="97"/>
      <c r="F52" s="96"/>
      <c r="G52" s="96"/>
      <c r="H52" s="96"/>
      <c r="L52" s="138"/>
      <c r="O52" s="138"/>
      <c r="R52" s="138"/>
      <c r="U52" s="138"/>
      <c r="X52" s="138"/>
    </row>
    <row r="53" spans="2:24" ht="12.75" customHeight="1" x14ac:dyDescent="0.25">
      <c r="B53" s="96"/>
      <c r="C53" s="96"/>
      <c r="D53" s="97"/>
      <c r="E53" s="97"/>
      <c r="F53" s="96"/>
      <c r="G53" s="96"/>
      <c r="H53" s="96"/>
      <c r="L53" s="138"/>
      <c r="O53" s="138"/>
      <c r="R53" s="138"/>
      <c r="U53" s="138"/>
      <c r="X53" s="138"/>
    </row>
    <row r="54" spans="2:24" ht="12.75" customHeight="1" x14ac:dyDescent="0.25">
      <c r="B54" s="96"/>
      <c r="C54" s="96"/>
      <c r="D54" s="97"/>
      <c r="E54" s="97"/>
      <c r="F54" s="96"/>
      <c r="G54" s="96"/>
      <c r="H54" s="96"/>
      <c r="L54" s="138"/>
      <c r="O54" s="138"/>
      <c r="R54" s="138"/>
      <c r="U54" s="138"/>
      <c r="X54" s="138"/>
    </row>
    <row r="55" spans="2:24" ht="12.75" customHeight="1" x14ac:dyDescent="0.25">
      <c r="B55" s="96"/>
      <c r="C55" s="96"/>
      <c r="D55" s="97"/>
      <c r="E55" s="97"/>
      <c r="F55" s="96"/>
      <c r="G55" s="96"/>
      <c r="H55" s="96"/>
      <c r="L55" s="138"/>
      <c r="O55" s="138"/>
      <c r="R55" s="138"/>
      <c r="U55" s="138"/>
      <c r="X55" s="138"/>
    </row>
    <row r="56" spans="2:24" ht="12.75" customHeight="1" x14ac:dyDescent="0.25">
      <c r="B56" s="96"/>
      <c r="C56" s="96"/>
      <c r="D56" s="97"/>
      <c r="E56" s="97"/>
      <c r="F56" s="96"/>
      <c r="G56" s="96"/>
      <c r="H56" s="96"/>
      <c r="L56" s="138"/>
      <c r="O56" s="138"/>
      <c r="R56" s="138"/>
      <c r="U56" s="138"/>
      <c r="X56" s="138"/>
    </row>
    <row r="57" spans="2:24" ht="12.75" customHeight="1" x14ac:dyDescent="0.25">
      <c r="B57" s="96"/>
      <c r="C57" s="96"/>
      <c r="D57" s="97"/>
      <c r="E57" s="97"/>
      <c r="F57" s="96"/>
      <c r="G57" s="96"/>
      <c r="H57" s="96"/>
      <c r="L57" s="138"/>
      <c r="O57" s="138"/>
      <c r="R57" s="138"/>
      <c r="U57" s="138"/>
      <c r="X57" s="138"/>
    </row>
    <row r="58" spans="2:24" ht="12.75" customHeight="1" x14ac:dyDescent="0.25">
      <c r="B58" s="96"/>
      <c r="C58" s="96"/>
      <c r="D58" s="97"/>
      <c r="E58" s="97"/>
      <c r="F58" s="96"/>
      <c r="G58" s="96"/>
      <c r="H58" s="96"/>
      <c r="L58" s="138"/>
      <c r="O58" s="138"/>
      <c r="R58" s="138"/>
      <c r="U58" s="138"/>
      <c r="X58" s="138"/>
    </row>
    <row r="59" spans="2:24" ht="12.75" customHeight="1" x14ac:dyDescent="0.25">
      <c r="B59" s="96"/>
      <c r="C59" s="96"/>
      <c r="D59" s="138"/>
      <c r="E59" s="138"/>
      <c r="F59" s="96"/>
      <c r="G59" s="96"/>
      <c r="H59" s="96"/>
      <c r="L59" s="138"/>
      <c r="O59" s="138"/>
      <c r="R59" s="138"/>
      <c r="U59" s="138"/>
      <c r="X59" s="138"/>
    </row>
    <row r="60" spans="2:24" ht="12.75" customHeight="1" x14ac:dyDescent="0.25">
      <c r="B60" s="96"/>
      <c r="C60" s="96"/>
      <c r="D60" s="138"/>
      <c r="E60" s="138"/>
      <c r="G60" s="96"/>
      <c r="H60" s="96"/>
      <c r="L60" s="138"/>
      <c r="O60" s="138"/>
      <c r="R60" s="138"/>
      <c r="U60" s="138"/>
      <c r="X60" s="138"/>
    </row>
    <row r="61" spans="2:24" ht="12.75" customHeight="1" x14ac:dyDescent="0.25">
      <c r="D61" s="138"/>
      <c r="E61" s="138"/>
      <c r="L61" s="138"/>
      <c r="O61" s="138"/>
      <c r="R61" s="138"/>
      <c r="U61" s="138"/>
      <c r="X61" s="138"/>
    </row>
    <row r="62" spans="2:24" ht="12.75" customHeight="1" x14ac:dyDescent="0.25">
      <c r="D62" s="138"/>
      <c r="E62" s="138"/>
      <c r="L62" s="138"/>
      <c r="O62" s="138"/>
      <c r="R62" s="138"/>
      <c r="U62" s="138"/>
      <c r="X62" s="138"/>
    </row>
    <row r="63" spans="2:24" ht="12.75" customHeight="1" x14ac:dyDescent="0.25">
      <c r="D63" s="138"/>
      <c r="E63" s="138"/>
      <c r="L63" s="138"/>
      <c r="O63" s="138"/>
      <c r="R63" s="138"/>
      <c r="U63" s="138"/>
      <c r="X63" s="138"/>
    </row>
    <row r="64" spans="2:24" ht="12.75" customHeight="1" x14ac:dyDescent="0.25">
      <c r="D64" s="138"/>
      <c r="E64" s="138"/>
      <c r="L64" s="138"/>
      <c r="O64" s="138"/>
      <c r="R64" s="138"/>
      <c r="U64" s="138"/>
      <c r="X64" s="138"/>
    </row>
    <row r="65" spans="4:24" ht="12.75" customHeight="1" x14ac:dyDescent="0.25">
      <c r="D65" s="138"/>
      <c r="E65" s="138"/>
      <c r="L65" s="138"/>
      <c r="O65" s="138"/>
      <c r="R65" s="138"/>
      <c r="U65" s="138"/>
      <c r="X65" s="138"/>
    </row>
    <row r="66" spans="4:24" ht="12.75" customHeight="1" x14ac:dyDescent="0.25">
      <c r="D66" s="138"/>
      <c r="E66" s="138"/>
      <c r="L66" s="138"/>
      <c r="O66" s="138"/>
      <c r="R66" s="138"/>
      <c r="U66" s="138"/>
      <c r="X66" s="138"/>
    </row>
    <row r="67" spans="4:24" ht="12.75" customHeight="1" x14ac:dyDescent="0.25">
      <c r="D67" s="138"/>
      <c r="E67" s="138"/>
      <c r="L67" s="138"/>
      <c r="O67" s="138"/>
      <c r="R67" s="138"/>
      <c r="U67" s="138"/>
      <c r="X67" s="138"/>
    </row>
    <row r="68" spans="4:24" ht="12.75" customHeight="1" x14ac:dyDescent="0.25">
      <c r="D68" s="138"/>
      <c r="E68" s="138"/>
      <c r="L68" s="138"/>
      <c r="O68" s="138"/>
      <c r="R68" s="138"/>
      <c r="U68" s="138"/>
      <c r="X68" s="138"/>
    </row>
    <row r="69" spans="4:24" ht="12.75" customHeight="1" x14ac:dyDescent="0.25">
      <c r="D69" s="138"/>
      <c r="E69" s="138"/>
      <c r="L69" s="138"/>
      <c r="O69" s="138"/>
      <c r="R69" s="138"/>
      <c r="U69" s="138"/>
      <c r="X69" s="138"/>
    </row>
    <row r="70" spans="4:24" ht="12.75" customHeight="1" x14ac:dyDescent="0.25">
      <c r="D70" s="138"/>
      <c r="E70" s="138"/>
      <c r="L70" s="138"/>
      <c r="O70" s="138"/>
      <c r="R70" s="138"/>
      <c r="U70" s="138"/>
      <c r="X70" s="138"/>
    </row>
    <row r="71" spans="4:24" ht="12.75" customHeight="1" x14ac:dyDescent="0.25">
      <c r="D71" s="138"/>
      <c r="E71" s="138"/>
      <c r="L71" s="138"/>
      <c r="O71" s="138"/>
      <c r="R71" s="138"/>
      <c r="U71" s="138"/>
      <c r="X71" s="138"/>
    </row>
    <row r="72" spans="4:24" ht="12.75" customHeight="1" x14ac:dyDescent="0.25">
      <c r="D72" s="138"/>
      <c r="E72" s="138"/>
      <c r="L72" s="138"/>
      <c r="O72" s="138"/>
      <c r="R72" s="138"/>
      <c r="U72" s="138"/>
      <c r="X72" s="138"/>
    </row>
    <row r="73" spans="4:24" ht="12.75" customHeight="1" x14ac:dyDescent="0.25">
      <c r="D73" s="138"/>
      <c r="E73" s="138"/>
      <c r="L73" s="138"/>
      <c r="O73" s="138"/>
      <c r="R73" s="138"/>
      <c r="U73" s="138"/>
      <c r="X73" s="138"/>
    </row>
    <row r="74" spans="4:24" ht="12.75" customHeight="1" x14ac:dyDescent="0.25">
      <c r="D74" s="138"/>
      <c r="E74" s="138"/>
      <c r="L74" s="138"/>
      <c r="O74" s="138"/>
      <c r="R74" s="138"/>
      <c r="U74" s="138"/>
      <c r="X74" s="138"/>
    </row>
    <row r="75" spans="4:24" ht="12.75" customHeight="1" x14ac:dyDescent="0.25">
      <c r="D75" s="138"/>
      <c r="E75" s="138"/>
      <c r="L75" s="138"/>
      <c r="O75" s="138"/>
      <c r="R75" s="138"/>
      <c r="U75" s="138"/>
      <c r="X75" s="138"/>
    </row>
    <row r="76" spans="4:24" ht="12.75" customHeight="1" x14ac:dyDescent="0.25">
      <c r="D76" s="138"/>
      <c r="E76" s="138"/>
      <c r="L76" s="138"/>
      <c r="O76" s="138"/>
      <c r="R76" s="138"/>
      <c r="U76" s="138"/>
      <c r="X76" s="138"/>
    </row>
    <row r="77" spans="4:24" ht="12.75" customHeight="1" x14ac:dyDescent="0.25">
      <c r="D77" s="138"/>
      <c r="E77" s="138"/>
      <c r="L77" s="138"/>
      <c r="O77" s="138"/>
      <c r="R77" s="138"/>
      <c r="U77" s="138"/>
      <c r="X77" s="138"/>
    </row>
    <row r="78" spans="4:24" ht="12.75" customHeight="1" x14ac:dyDescent="0.25">
      <c r="D78" s="138"/>
      <c r="E78" s="138"/>
      <c r="L78" s="138"/>
      <c r="O78" s="138"/>
      <c r="R78" s="138"/>
      <c r="U78" s="138"/>
      <c r="X78" s="138"/>
    </row>
    <row r="79" spans="4:24" ht="12.75" customHeight="1" x14ac:dyDescent="0.25">
      <c r="D79" s="138"/>
      <c r="E79" s="138"/>
      <c r="L79" s="138"/>
      <c r="O79" s="138"/>
      <c r="R79" s="138"/>
      <c r="U79" s="138"/>
      <c r="X79" s="138"/>
    </row>
    <row r="80" spans="4:24" ht="12.75" customHeight="1" x14ac:dyDescent="0.25">
      <c r="D80" s="138"/>
      <c r="E80" s="138"/>
      <c r="L80" s="138"/>
      <c r="O80" s="138"/>
      <c r="R80" s="138"/>
      <c r="U80" s="138"/>
      <c r="X80" s="138"/>
    </row>
    <row r="81" spans="4:24" ht="12.75" customHeight="1" x14ac:dyDescent="0.25">
      <c r="D81" s="138"/>
      <c r="E81" s="138"/>
      <c r="L81" s="138"/>
      <c r="O81" s="138"/>
      <c r="R81" s="138"/>
      <c r="U81" s="138"/>
      <c r="X81" s="138"/>
    </row>
    <row r="82" spans="4:24" ht="12.75" customHeight="1" x14ac:dyDescent="0.25">
      <c r="D82" s="138"/>
      <c r="E82" s="138"/>
      <c r="L82" s="138"/>
      <c r="O82" s="138"/>
      <c r="R82" s="138"/>
      <c r="U82" s="138"/>
      <c r="X82" s="138"/>
    </row>
    <row r="83" spans="4:24" ht="12.75" customHeight="1" x14ac:dyDescent="0.25">
      <c r="D83" s="138"/>
      <c r="E83" s="138"/>
      <c r="L83" s="138"/>
      <c r="O83" s="138"/>
      <c r="R83" s="138"/>
      <c r="U83" s="138"/>
      <c r="X83" s="138"/>
    </row>
    <row r="84" spans="4:24" ht="12.75" customHeight="1" x14ac:dyDescent="0.25">
      <c r="D84" s="138"/>
      <c r="E84" s="138"/>
      <c r="L84" s="138"/>
      <c r="O84" s="138"/>
      <c r="R84" s="138"/>
      <c r="U84" s="138"/>
      <c r="X84" s="138"/>
    </row>
    <row r="85" spans="4:24" ht="12.75" customHeight="1" x14ac:dyDescent="0.25">
      <c r="D85" s="138"/>
      <c r="E85" s="138"/>
      <c r="L85" s="138"/>
      <c r="O85" s="138"/>
      <c r="R85" s="138"/>
      <c r="U85" s="138"/>
      <c r="X85" s="138"/>
    </row>
    <row r="86" spans="4:24" ht="12.75" customHeight="1" x14ac:dyDescent="0.25">
      <c r="D86" s="138"/>
      <c r="E86" s="138"/>
      <c r="L86" s="138"/>
      <c r="O86" s="138"/>
      <c r="R86" s="138"/>
      <c r="U86" s="138"/>
      <c r="X86" s="138"/>
    </row>
    <row r="87" spans="4:24" ht="12.75" customHeight="1" x14ac:dyDescent="0.25">
      <c r="D87" s="138"/>
      <c r="E87" s="138"/>
      <c r="L87" s="138"/>
      <c r="O87" s="138"/>
      <c r="R87" s="138"/>
      <c r="U87" s="138"/>
      <c r="X87" s="138"/>
    </row>
    <row r="88" spans="4:24" ht="12.75" customHeight="1" x14ac:dyDescent="0.25">
      <c r="D88" s="138"/>
      <c r="E88" s="138"/>
      <c r="L88" s="138"/>
      <c r="O88" s="138"/>
      <c r="R88" s="138"/>
      <c r="U88" s="138"/>
      <c r="X88" s="138"/>
    </row>
    <row r="89" spans="4:24" ht="12.75" customHeight="1" x14ac:dyDescent="0.25">
      <c r="D89" s="138"/>
      <c r="E89" s="138"/>
      <c r="L89" s="138"/>
      <c r="O89" s="138"/>
      <c r="R89" s="138"/>
      <c r="U89" s="138"/>
      <c r="X89" s="138"/>
    </row>
    <row r="90" spans="4:24" ht="12.75" customHeight="1" x14ac:dyDescent="0.25">
      <c r="D90" s="138"/>
      <c r="E90" s="138"/>
      <c r="L90" s="138"/>
      <c r="O90" s="138"/>
      <c r="R90" s="138"/>
      <c r="U90" s="138"/>
      <c r="X90" s="138"/>
    </row>
    <row r="91" spans="4:24" ht="12.75" customHeight="1" x14ac:dyDescent="0.25">
      <c r="D91" s="138"/>
      <c r="E91" s="138"/>
      <c r="L91" s="138"/>
      <c r="O91" s="138"/>
      <c r="R91" s="138"/>
      <c r="U91" s="138"/>
      <c r="X91" s="138"/>
    </row>
    <row r="92" spans="4:24" ht="12.75" customHeight="1" x14ac:dyDescent="0.25">
      <c r="D92" s="138"/>
      <c r="E92" s="138"/>
      <c r="L92" s="138"/>
      <c r="O92" s="138"/>
      <c r="R92" s="138"/>
      <c r="U92" s="138"/>
      <c r="X92" s="138"/>
    </row>
    <row r="93" spans="4:24" ht="12.75" customHeight="1" x14ac:dyDescent="0.25">
      <c r="D93" s="138"/>
      <c r="E93" s="138"/>
      <c r="L93" s="138"/>
      <c r="O93" s="138"/>
      <c r="R93" s="138"/>
      <c r="U93" s="138"/>
      <c r="X93" s="138"/>
    </row>
    <row r="94" spans="4:24" ht="12.75" customHeight="1" x14ac:dyDescent="0.25">
      <c r="D94" s="138"/>
      <c r="E94" s="138"/>
      <c r="L94" s="138"/>
      <c r="O94" s="138"/>
      <c r="R94" s="138"/>
      <c r="U94" s="138"/>
      <c r="X94" s="138"/>
    </row>
    <row r="95" spans="4:24" ht="12.75" customHeight="1" x14ac:dyDescent="0.25">
      <c r="D95" s="138"/>
      <c r="E95" s="138"/>
      <c r="L95" s="138"/>
      <c r="O95" s="138"/>
      <c r="R95" s="138"/>
      <c r="U95" s="138"/>
      <c r="X95" s="138"/>
    </row>
    <row r="96" spans="4:24" ht="12.75" customHeight="1" x14ac:dyDescent="0.25">
      <c r="D96" s="138"/>
      <c r="E96" s="138"/>
      <c r="L96" s="138"/>
      <c r="O96" s="138"/>
      <c r="R96" s="138"/>
      <c r="U96" s="138"/>
      <c r="X96" s="138"/>
    </row>
    <row r="97" spans="4:24" ht="12.75" customHeight="1" x14ac:dyDescent="0.25">
      <c r="D97" s="138"/>
      <c r="E97" s="138"/>
      <c r="L97" s="138"/>
      <c r="O97" s="138"/>
      <c r="R97" s="138"/>
      <c r="U97" s="138"/>
      <c r="X97" s="138"/>
    </row>
    <row r="98" spans="4:24" ht="12.75" customHeight="1" x14ac:dyDescent="0.25">
      <c r="D98" s="138"/>
      <c r="E98" s="138"/>
      <c r="L98" s="138"/>
      <c r="O98" s="138"/>
      <c r="R98" s="138"/>
      <c r="U98" s="138"/>
      <c r="X98" s="138"/>
    </row>
    <row r="99" spans="4:24" ht="12.75" customHeight="1" x14ac:dyDescent="0.25">
      <c r="D99" s="138"/>
      <c r="E99" s="138"/>
      <c r="L99" s="138"/>
      <c r="O99" s="138"/>
      <c r="R99" s="138"/>
      <c r="U99" s="138"/>
      <c r="X99" s="138"/>
    </row>
    <row r="100" spans="4:24" ht="12.75" customHeight="1" x14ac:dyDescent="0.25">
      <c r="D100" s="138"/>
      <c r="E100" s="138"/>
      <c r="L100" s="138"/>
      <c r="O100" s="138"/>
      <c r="R100" s="138"/>
      <c r="U100" s="138"/>
      <c r="X100" s="138"/>
    </row>
    <row r="101" spans="4:24" ht="12.75" customHeight="1" x14ac:dyDescent="0.25">
      <c r="D101" s="138"/>
      <c r="E101" s="138"/>
      <c r="L101" s="138"/>
      <c r="O101" s="138"/>
      <c r="R101" s="138"/>
      <c r="U101" s="138"/>
      <c r="X101" s="138"/>
    </row>
    <row r="102" spans="4:24" ht="12.75" customHeight="1" x14ac:dyDescent="0.25">
      <c r="D102" s="138"/>
      <c r="E102" s="138"/>
      <c r="L102" s="138"/>
      <c r="O102" s="138"/>
      <c r="R102" s="138"/>
      <c r="U102" s="138"/>
      <c r="X102" s="138"/>
    </row>
    <row r="103" spans="4:24" ht="12.75" customHeight="1" x14ac:dyDescent="0.25">
      <c r="D103" s="138"/>
      <c r="E103" s="138"/>
      <c r="L103" s="138"/>
      <c r="O103" s="138"/>
      <c r="R103" s="138"/>
      <c r="U103" s="138"/>
      <c r="X103" s="138"/>
    </row>
    <row r="104" spans="4:24" ht="12.75" customHeight="1" x14ac:dyDescent="0.25">
      <c r="D104" s="138"/>
      <c r="E104" s="138"/>
      <c r="L104" s="138"/>
      <c r="O104" s="138"/>
      <c r="R104" s="138"/>
      <c r="U104" s="138"/>
      <c r="X104" s="138"/>
    </row>
    <row r="105" spans="4:24" ht="12.75" customHeight="1" x14ac:dyDescent="0.25">
      <c r="D105" s="138"/>
      <c r="E105" s="138"/>
      <c r="L105" s="138"/>
      <c r="O105" s="138"/>
      <c r="R105" s="138"/>
      <c r="U105" s="138"/>
      <c r="X105" s="138"/>
    </row>
    <row r="106" spans="4:24" ht="12.75" customHeight="1" x14ac:dyDescent="0.25">
      <c r="D106" s="138"/>
      <c r="E106" s="138"/>
      <c r="L106" s="138"/>
      <c r="O106" s="138"/>
      <c r="R106" s="138"/>
      <c r="U106" s="138"/>
      <c r="X106" s="138"/>
    </row>
    <row r="107" spans="4:24" ht="12.75" customHeight="1" x14ac:dyDescent="0.25">
      <c r="D107" s="138"/>
      <c r="E107" s="138"/>
      <c r="L107" s="138"/>
      <c r="O107" s="138"/>
      <c r="R107" s="138"/>
      <c r="U107" s="138"/>
      <c r="X107" s="138"/>
    </row>
    <row r="108" spans="4:24" ht="12.75" customHeight="1" x14ac:dyDescent="0.25">
      <c r="D108" s="138"/>
      <c r="E108" s="138"/>
      <c r="L108" s="138"/>
      <c r="O108" s="138"/>
      <c r="R108" s="138"/>
      <c r="U108" s="138"/>
      <c r="X108" s="138"/>
    </row>
    <row r="109" spans="4:24" ht="12.75" customHeight="1" x14ac:dyDescent="0.25">
      <c r="D109" s="138"/>
      <c r="E109" s="138"/>
      <c r="L109" s="138"/>
      <c r="O109" s="138"/>
      <c r="R109" s="138"/>
      <c r="U109" s="138"/>
      <c r="X109" s="138"/>
    </row>
    <row r="110" spans="4:24" ht="12.75" customHeight="1" x14ac:dyDescent="0.25">
      <c r="D110" s="138"/>
      <c r="E110" s="138"/>
      <c r="L110" s="138"/>
      <c r="O110" s="138"/>
      <c r="R110" s="138"/>
      <c r="U110" s="138"/>
      <c r="X110" s="138"/>
    </row>
    <row r="111" spans="4:24" ht="12.75" customHeight="1" x14ac:dyDescent="0.25">
      <c r="D111" s="138"/>
      <c r="E111" s="138"/>
      <c r="L111" s="138"/>
      <c r="O111" s="138"/>
      <c r="R111" s="138"/>
      <c r="U111" s="138"/>
      <c r="X111" s="138"/>
    </row>
    <row r="112" spans="4:24" ht="12.75" customHeight="1" x14ac:dyDescent="0.25">
      <c r="D112" s="138"/>
      <c r="E112" s="138"/>
      <c r="L112" s="138"/>
      <c r="O112" s="138"/>
      <c r="R112" s="138"/>
      <c r="U112" s="138"/>
      <c r="X112" s="138"/>
    </row>
    <row r="113" spans="4:24" ht="12.75" customHeight="1" x14ac:dyDescent="0.25">
      <c r="D113" s="138"/>
      <c r="E113" s="138"/>
      <c r="L113" s="138"/>
      <c r="O113" s="138"/>
      <c r="R113" s="138"/>
      <c r="U113" s="138"/>
      <c r="X113" s="138"/>
    </row>
    <row r="114" spans="4:24" ht="12.75" customHeight="1" x14ac:dyDescent="0.25">
      <c r="D114" s="138"/>
      <c r="E114" s="138"/>
      <c r="L114" s="138"/>
      <c r="O114" s="138"/>
      <c r="R114" s="138"/>
      <c r="U114" s="138"/>
      <c r="X114" s="138"/>
    </row>
    <row r="115" spans="4:24" ht="12.75" customHeight="1" x14ac:dyDescent="0.25">
      <c r="D115" s="138"/>
      <c r="E115" s="138"/>
      <c r="L115" s="138"/>
      <c r="O115" s="138"/>
      <c r="R115" s="138"/>
      <c r="U115" s="138"/>
      <c r="X115" s="138"/>
    </row>
    <row r="116" spans="4:24" ht="12.75" customHeight="1" x14ac:dyDescent="0.25">
      <c r="D116" s="138"/>
      <c r="E116" s="138"/>
      <c r="L116" s="138"/>
      <c r="O116" s="138"/>
      <c r="R116" s="138"/>
      <c r="U116" s="138"/>
      <c r="X116" s="138"/>
    </row>
    <row r="117" spans="4:24" ht="12.75" customHeight="1" x14ac:dyDescent="0.25">
      <c r="D117" s="138"/>
      <c r="E117" s="138"/>
      <c r="L117" s="138"/>
      <c r="O117" s="138"/>
      <c r="R117" s="138"/>
      <c r="U117" s="138"/>
      <c r="X117" s="138"/>
    </row>
    <row r="118" spans="4:24" ht="12.75" customHeight="1" x14ac:dyDescent="0.25">
      <c r="D118" s="138"/>
      <c r="E118" s="138"/>
      <c r="L118" s="138"/>
      <c r="O118" s="138"/>
      <c r="R118" s="138"/>
      <c r="U118" s="138"/>
      <c r="X118" s="138"/>
    </row>
    <row r="119" spans="4:24" ht="12.75" customHeight="1" x14ac:dyDescent="0.25">
      <c r="D119" s="138"/>
      <c r="E119" s="138"/>
      <c r="L119" s="138"/>
      <c r="O119" s="138"/>
      <c r="R119" s="138"/>
      <c r="U119" s="138"/>
      <c r="X119" s="138"/>
    </row>
    <row r="120" spans="4:24" ht="12.75" customHeight="1" x14ac:dyDescent="0.25">
      <c r="D120" s="138"/>
      <c r="E120" s="138"/>
      <c r="L120" s="138"/>
      <c r="O120" s="138"/>
      <c r="R120" s="138"/>
      <c r="U120" s="138"/>
      <c r="X120" s="138"/>
    </row>
    <row r="121" spans="4:24" ht="12.75" customHeight="1" x14ac:dyDescent="0.25">
      <c r="D121" s="138"/>
      <c r="E121" s="138"/>
      <c r="L121" s="138"/>
      <c r="O121" s="138"/>
      <c r="R121" s="138"/>
      <c r="U121" s="138"/>
      <c r="X121" s="138"/>
    </row>
    <row r="122" spans="4:24" ht="12.75" customHeight="1" x14ac:dyDescent="0.25">
      <c r="D122" s="138"/>
      <c r="E122" s="138"/>
      <c r="L122" s="138"/>
      <c r="O122" s="138"/>
      <c r="R122" s="138"/>
      <c r="U122" s="138"/>
      <c r="X122" s="138"/>
    </row>
    <row r="123" spans="4:24" ht="12.75" customHeight="1" x14ac:dyDescent="0.25">
      <c r="D123" s="138"/>
      <c r="E123" s="138"/>
      <c r="L123" s="138"/>
      <c r="O123" s="138"/>
      <c r="R123" s="138"/>
      <c r="U123" s="138"/>
      <c r="X123" s="138"/>
    </row>
    <row r="124" spans="4:24" ht="12.75" customHeight="1" x14ac:dyDescent="0.25">
      <c r="D124" s="138"/>
      <c r="E124" s="138"/>
      <c r="L124" s="138"/>
      <c r="O124" s="138"/>
      <c r="R124" s="138"/>
      <c r="U124" s="138"/>
      <c r="X124" s="138"/>
    </row>
    <row r="125" spans="4:24" ht="12.75" customHeight="1" x14ac:dyDescent="0.25">
      <c r="D125" s="138"/>
      <c r="E125" s="138"/>
      <c r="L125" s="138"/>
      <c r="O125" s="138"/>
      <c r="R125" s="138"/>
      <c r="U125" s="138"/>
      <c r="X125" s="138"/>
    </row>
    <row r="126" spans="4:24" ht="12.75" customHeight="1" x14ac:dyDescent="0.25">
      <c r="D126" s="138"/>
      <c r="E126" s="138"/>
      <c r="L126" s="138"/>
      <c r="O126" s="138"/>
      <c r="R126" s="138"/>
      <c r="U126" s="138"/>
      <c r="X126" s="138"/>
    </row>
    <row r="127" spans="4:24" ht="12.75" customHeight="1" x14ac:dyDescent="0.25">
      <c r="D127" s="138"/>
      <c r="E127" s="138"/>
      <c r="L127" s="138"/>
      <c r="O127" s="138"/>
      <c r="R127" s="138"/>
      <c r="U127" s="138"/>
      <c r="X127" s="138"/>
    </row>
    <row r="128" spans="4:24" ht="12.75" customHeight="1" x14ac:dyDescent="0.25">
      <c r="D128" s="138"/>
      <c r="E128" s="138"/>
      <c r="L128" s="138"/>
      <c r="O128" s="138"/>
      <c r="R128" s="138"/>
      <c r="U128" s="138"/>
      <c r="X128" s="138"/>
    </row>
    <row r="129" spans="4:24" ht="12.75" customHeight="1" x14ac:dyDescent="0.25">
      <c r="D129" s="138"/>
      <c r="E129" s="138"/>
      <c r="L129" s="138"/>
      <c r="O129" s="138"/>
      <c r="R129" s="138"/>
      <c r="U129" s="138"/>
      <c r="X129" s="138"/>
    </row>
    <row r="130" spans="4:24" ht="12.75" customHeight="1" x14ac:dyDescent="0.25">
      <c r="D130" s="138"/>
      <c r="E130" s="138"/>
      <c r="L130" s="138"/>
      <c r="O130" s="138"/>
      <c r="R130" s="138"/>
      <c r="U130" s="138"/>
      <c r="X130" s="138"/>
    </row>
    <row r="131" spans="4:24" ht="12.75" customHeight="1" x14ac:dyDescent="0.25">
      <c r="D131" s="138"/>
      <c r="E131" s="138"/>
      <c r="L131" s="138"/>
      <c r="O131" s="138"/>
      <c r="R131" s="138"/>
      <c r="U131" s="138"/>
      <c r="X131" s="138"/>
    </row>
    <row r="132" spans="4:24" ht="12.75" customHeight="1" x14ac:dyDescent="0.25">
      <c r="D132" s="138"/>
      <c r="E132" s="138"/>
      <c r="L132" s="138"/>
      <c r="O132" s="138"/>
      <c r="R132" s="138"/>
      <c r="U132" s="138"/>
      <c r="X132" s="138"/>
    </row>
    <row r="133" spans="4:24" ht="12.75" customHeight="1" x14ac:dyDescent="0.25">
      <c r="D133" s="138"/>
      <c r="E133" s="138"/>
      <c r="L133" s="138"/>
      <c r="O133" s="138"/>
      <c r="R133" s="138"/>
      <c r="U133" s="138"/>
      <c r="X133" s="138"/>
    </row>
    <row r="134" spans="4:24" ht="12.75" customHeight="1" x14ac:dyDescent="0.25">
      <c r="D134" s="138"/>
      <c r="E134" s="138"/>
      <c r="L134" s="138"/>
      <c r="O134" s="138"/>
      <c r="R134" s="138"/>
      <c r="U134" s="138"/>
      <c r="X134" s="138"/>
    </row>
    <row r="135" spans="4:24" ht="12.75" customHeight="1" x14ac:dyDescent="0.25">
      <c r="D135" s="138"/>
      <c r="E135" s="138"/>
      <c r="L135" s="138"/>
      <c r="O135" s="138"/>
      <c r="R135" s="138"/>
      <c r="U135" s="138"/>
      <c r="X135" s="138"/>
    </row>
    <row r="136" spans="4:24" ht="12.75" customHeight="1" x14ac:dyDescent="0.25">
      <c r="D136" s="138"/>
      <c r="E136" s="138"/>
      <c r="L136" s="138"/>
      <c r="O136" s="138"/>
      <c r="R136" s="138"/>
      <c r="U136" s="138"/>
      <c r="X136" s="138"/>
    </row>
    <row r="137" spans="4:24" ht="12.75" customHeight="1" x14ac:dyDescent="0.25">
      <c r="D137" s="138"/>
      <c r="E137" s="138"/>
      <c r="L137" s="138"/>
      <c r="O137" s="138"/>
      <c r="R137" s="138"/>
      <c r="U137" s="138"/>
      <c r="X137" s="138"/>
    </row>
    <row r="138" spans="4:24" ht="12.75" customHeight="1" x14ac:dyDescent="0.25">
      <c r="D138" s="138"/>
      <c r="E138" s="138"/>
      <c r="L138" s="138"/>
      <c r="O138" s="138"/>
      <c r="R138" s="138"/>
      <c r="U138" s="138"/>
      <c r="X138" s="138"/>
    </row>
    <row r="139" spans="4:24" ht="12.75" customHeight="1" x14ac:dyDescent="0.25">
      <c r="D139" s="138"/>
      <c r="E139" s="138"/>
      <c r="L139" s="138"/>
      <c r="O139" s="138"/>
      <c r="R139" s="138"/>
      <c r="U139" s="138"/>
      <c r="X139" s="138"/>
    </row>
    <row r="140" spans="4:24" ht="12.75" customHeight="1" x14ac:dyDescent="0.25">
      <c r="D140" s="138"/>
      <c r="E140" s="138"/>
      <c r="L140" s="138"/>
      <c r="O140" s="138"/>
      <c r="R140" s="138"/>
      <c r="U140" s="138"/>
      <c r="X140" s="138"/>
    </row>
    <row r="141" spans="4:24" ht="12.75" customHeight="1" x14ac:dyDescent="0.25">
      <c r="D141" s="138"/>
      <c r="E141" s="138"/>
      <c r="L141" s="138"/>
      <c r="O141" s="138"/>
      <c r="R141" s="138"/>
      <c r="U141" s="138"/>
      <c r="X141" s="138"/>
    </row>
    <row r="142" spans="4:24" ht="12.75" customHeight="1" x14ac:dyDescent="0.25">
      <c r="D142" s="138"/>
      <c r="E142" s="138"/>
      <c r="L142" s="138"/>
      <c r="O142" s="138"/>
      <c r="R142" s="138"/>
      <c r="U142" s="138"/>
      <c r="X142" s="138"/>
    </row>
    <row r="143" spans="4:24" ht="12.75" customHeight="1" x14ac:dyDescent="0.25">
      <c r="D143" s="138"/>
      <c r="E143" s="138"/>
      <c r="L143" s="138"/>
      <c r="O143" s="138"/>
      <c r="R143" s="138"/>
      <c r="U143" s="138"/>
      <c r="X143" s="138"/>
    </row>
    <row r="144" spans="4:24" ht="12.75" customHeight="1" x14ac:dyDescent="0.25">
      <c r="D144" s="138"/>
      <c r="E144" s="138"/>
      <c r="L144" s="138"/>
      <c r="O144" s="138"/>
      <c r="R144" s="138"/>
      <c r="U144" s="138"/>
      <c r="X144" s="138"/>
    </row>
    <row r="145" spans="4:24" ht="12.75" customHeight="1" x14ac:dyDescent="0.25">
      <c r="D145" s="138"/>
      <c r="E145" s="138"/>
      <c r="L145" s="138"/>
      <c r="O145" s="138"/>
      <c r="R145" s="138"/>
      <c r="U145" s="138"/>
      <c r="X145" s="138"/>
    </row>
    <row r="146" spans="4:24" ht="12.75" customHeight="1" x14ac:dyDescent="0.25">
      <c r="D146" s="138"/>
      <c r="E146" s="138"/>
      <c r="L146" s="138"/>
      <c r="O146" s="138"/>
      <c r="R146" s="138"/>
      <c r="U146" s="138"/>
      <c r="X146" s="138"/>
    </row>
    <row r="147" spans="4:24" ht="12.75" customHeight="1" x14ac:dyDescent="0.25">
      <c r="D147" s="138"/>
      <c r="E147" s="138"/>
      <c r="L147" s="138"/>
      <c r="O147" s="138"/>
      <c r="R147" s="138"/>
      <c r="U147" s="138"/>
      <c r="X147" s="138"/>
    </row>
    <row r="148" spans="4:24" ht="12.75" customHeight="1" x14ac:dyDescent="0.25">
      <c r="D148" s="138"/>
      <c r="E148" s="138"/>
      <c r="L148" s="138"/>
      <c r="O148" s="138"/>
      <c r="R148" s="138"/>
      <c r="U148" s="138"/>
      <c r="X148" s="138"/>
    </row>
    <row r="149" spans="4:24" ht="12.75" customHeight="1" x14ac:dyDescent="0.25">
      <c r="D149" s="138"/>
      <c r="E149" s="138"/>
      <c r="L149" s="138"/>
      <c r="O149" s="138"/>
      <c r="R149" s="138"/>
      <c r="U149" s="138"/>
      <c r="X149" s="138"/>
    </row>
    <row r="150" spans="4:24" ht="12.75" customHeight="1" x14ac:dyDescent="0.25">
      <c r="D150" s="138"/>
      <c r="E150" s="138"/>
      <c r="L150" s="138"/>
      <c r="O150" s="138"/>
      <c r="R150" s="138"/>
      <c r="U150" s="138"/>
      <c r="X150" s="138"/>
    </row>
    <row r="151" spans="4:24" ht="12.75" customHeight="1" x14ac:dyDescent="0.25">
      <c r="D151" s="138"/>
      <c r="E151" s="138"/>
      <c r="L151" s="138"/>
      <c r="O151" s="138"/>
      <c r="R151" s="138"/>
      <c r="U151" s="138"/>
      <c r="X151" s="138"/>
    </row>
    <row r="152" spans="4:24" ht="12.75" customHeight="1" x14ac:dyDescent="0.25">
      <c r="D152" s="138"/>
      <c r="E152" s="138"/>
      <c r="L152" s="138"/>
      <c r="O152" s="138"/>
      <c r="R152" s="138"/>
      <c r="U152" s="138"/>
      <c r="X152" s="138"/>
    </row>
    <row r="153" spans="4:24" ht="12.75" customHeight="1" x14ac:dyDescent="0.25">
      <c r="D153" s="138"/>
      <c r="E153" s="138"/>
      <c r="L153" s="138"/>
      <c r="O153" s="138"/>
      <c r="R153" s="138"/>
      <c r="U153" s="138"/>
      <c r="X153" s="138"/>
    </row>
    <row r="154" spans="4:24" ht="12.75" customHeight="1" x14ac:dyDescent="0.25">
      <c r="D154" s="138"/>
      <c r="E154" s="138"/>
      <c r="L154" s="138"/>
      <c r="O154" s="138"/>
      <c r="R154" s="138"/>
      <c r="U154" s="138"/>
      <c r="X154" s="138"/>
    </row>
    <row r="155" spans="4:24" ht="12.75" customHeight="1" x14ac:dyDescent="0.25">
      <c r="D155" s="138"/>
      <c r="E155" s="138"/>
      <c r="L155" s="138"/>
      <c r="O155" s="138"/>
      <c r="R155" s="138"/>
      <c r="U155" s="138"/>
      <c r="X155" s="138"/>
    </row>
    <row r="156" spans="4:24" ht="12.75" customHeight="1" x14ac:dyDescent="0.25">
      <c r="D156" s="138"/>
      <c r="E156" s="138"/>
      <c r="L156" s="138"/>
      <c r="O156" s="138"/>
      <c r="R156" s="138"/>
      <c r="U156" s="138"/>
      <c r="X156" s="138"/>
    </row>
    <row r="157" spans="4:24" ht="12.75" customHeight="1" x14ac:dyDescent="0.25">
      <c r="D157" s="138"/>
      <c r="E157" s="138"/>
      <c r="L157" s="138"/>
      <c r="O157" s="138"/>
      <c r="R157" s="138"/>
      <c r="U157" s="138"/>
      <c r="X157" s="138"/>
    </row>
    <row r="158" spans="4:24" ht="12.75" customHeight="1" x14ac:dyDescent="0.25">
      <c r="D158" s="138"/>
      <c r="E158" s="138"/>
      <c r="L158" s="138"/>
      <c r="O158" s="138"/>
      <c r="R158" s="138"/>
      <c r="U158" s="138"/>
      <c r="X158" s="138"/>
    </row>
    <row r="159" spans="4:24" ht="12.75" customHeight="1" x14ac:dyDescent="0.25">
      <c r="D159" s="138"/>
      <c r="E159" s="138"/>
      <c r="L159" s="138"/>
      <c r="O159" s="138"/>
      <c r="R159" s="138"/>
      <c r="U159" s="138"/>
      <c r="X159" s="138"/>
    </row>
    <row r="160" spans="4:24" ht="12.75" customHeight="1" x14ac:dyDescent="0.25">
      <c r="D160" s="138"/>
      <c r="E160" s="138"/>
      <c r="L160" s="138"/>
      <c r="O160" s="138"/>
      <c r="R160" s="138"/>
      <c r="U160" s="138"/>
      <c r="X160" s="138"/>
    </row>
    <row r="161" spans="4:24" ht="12.75" customHeight="1" x14ac:dyDescent="0.25">
      <c r="D161" s="138"/>
      <c r="E161" s="138"/>
      <c r="L161" s="138"/>
      <c r="O161" s="138"/>
      <c r="R161" s="138"/>
      <c r="U161" s="138"/>
      <c r="X161" s="138"/>
    </row>
    <row r="162" spans="4:24" ht="12.75" customHeight="1" x14ac:dyDescent="0.25">
      <c r="D162" s="138"/>
      <c r="E162" s="138"/>
      <c r="L162" s="138"/>
      <c r="O162" s="138"/>
      <c r="R162" s="138"/>
      <c r="U162" s="138"/>
      <c r="X162" s="138"/>
    </row>
    <row r="163" spans="4:24" ht="12.75" customHeight="1" x14ac:dyDescent="0.25">
      <c r="D163" s="138"/>
      <c r="E163" s="138"/>
      <c r="L163" s="138"/>
      <c r="O163" s="138"/>
      <c r="R163" s="138"/>
      <c r="U163" s="138"/>
      <c r="X163" s="138"/>
    </row>
    <row r="164" spans="4:24" ht="12.75" customHeight="1" x14ac:dyDescent="0.25">
      <c r="D164" s="138"/>
      <c r="E164" s="138"/>
      <c r="L164" s="138"/>
      <c r="O164" s="138"/>
      <c r="R164" s="138"/>
      <c r="U164" s="138"/>
      <c r="X164" s="138"/>
    </row>
    <row r="165" spans="4:24" ht="12.75" customHeight="1" x14ac:dyDescent="0.25">
      <c r="D165" s="138"/>
      <c r="E165" s="138"/>
      <c r="L165" s="138"/>
      <c r="O165" s="138"/>
      <c r="R165" s="138"/>
      <c r="U165" s="138"/>
      <c r="X165" s="138"/>
    </row>
    <row r="166" spans="4:24" ht="12.75" customHeight="1" x14ac:dyDescent="0.25">
      <c r="D166" s="138"/>
      <c r="E166" s="138"/>
      <c r="L166" s="138"/>
      <c r="O166" s="138"/>
      <c r="R166" s="138"/>
      <c r="U166" s="138"/>
      <c r="X166" s="138"/>
    </row>
    <row r="167" spans="4:24" ht="12.75" customHeight="1" x14ac:dyDescent="0.25">
      <c r="D167" s="138"/>
      <c r="E167" s="138"/>
      <c r="L167" s="138"/>
      <c r="O167" s="138"/>
      <c r="R167" s="138"/>
      <c r="U167" s="138"/>
      <c r="X167" s="138"/>
    </row>
    <row r="168" spans="4:24" ht="12.75" customHeight="1" x14ac:dyDescent="0.25">
      <c r="D168" s="138"/>
      <c r="E168" s="138"/>
      <c r="L168" s="138"/>
      <c r="O168" s="138"/>
      <c r="R168" s="138"/>
      <c r="U168" s="138"/>
      <c r="X168" s="138"/>
    </row>
    <row r="169" spans="4:24" ht="12.75" customHeight="1" x14ac:dyDescent="0.25">
      <c r="D169" s="138"/>
      <c r="E169" s="138"/>
      <c r="L169" s="138"/>
      <c r="O169" s="138"/>
      <c r="R169" s="138"/>
      <c r="U169" s="138"/>
      <c r="X169" s="138"/>
    </row>
    <row r="170" spans="4:24" ht="12.75" customHeight="1" x14ac:dyDescent="0.25">
      <c r="D170" s="138"/>
      <c r="E170" s="138"/>
      <c r="L170" s="138"/>
      <c r="O170" s="138"/>
      <c r="R170" s="138"/>
      <c r="U170" s="138"/>
      <c r="X170" s="138"/>
    </row>
    <row r="171" spans="4:24" ht="12.75" customHeight="1" x14ac:dyDescent="0.25">
      <c r="D171" s="138"/>
      <c r="E171" s="138"/>
      <c r="L171" s="138"/>
      <c r="O171" s="138"/>
      <c r="R171" s="138"/>
      <c r="U171" s="138"/>
      <c r="X171" s="138"/>
    </row>
    <row r="172" spans="4:24" ht="12.75" customHeight="1" x14ac:dyDescent="0.25">
      <c r="D172" s="138"/>
      <c r="E172" s="138"/>
      <c r="L172" s="138"/>
      <c r="O172" s="138"/>
      <c r="R172" s="138"/>
      <c r="U172" s="138"/>
      <c r="X172" s="138"/>
    </row>
    <row r="173" spans="4:24" ht="12.75" customHeight="1" x14ac:dyDescent="0.25">
      <c r="D173" s="138"/>
      <c r="E173" s="138"/>
      <c r="L173" s="138"/>
      <c r="O173" s="138"/>
      <c r="R173" s="138"/>
      <c r="U173" s="138"/>
      <c r="X173" s="138"/>
    </row>
    <row r="174" spans="4:24" ht="12.75" customHeight="1" x14ac:dyDescent="0.25">
      <c r="D174" s="138"/>
      <c r="E174" s="138"/>
      <c r="L174" s="138"/>
      <c r="O174" s="138"/>
      <c r="R174" s="138"/>
      <c r="U174" s="138"/>
      <c r="X174" s="138"/>
    </row>
    <row r="175" spans="4:24" ht="12.75" customHeight="1" x14ac:dyDescent="0.25">
      <c r="D175" s="138"/>
      <c r="E175" s="138"/>
      <c r="L175" s="138"/>
      <c r="O175" s="138"/>
      <c r="R175" s="138"/>
      <c r="U175" s="138"/>
      <c r="X175" s="138"/>
    </row>
    <row r="176" spans="4:24" ht="12.75" customHeight="1" x14ac:dyDescent="0.25">
      <c r="D176" s="138"/>
      <c r="E176" s="138"/>
      <c r="L176" s="138"/>
      <c r="O176" s="138"/>
      <c r="R176" s="138"/>
      <c r="U176" s="138"/>
      <c r="X176" s="138"/>
    </row>
    <row r="177" spans="4:24" ht="12.75" customHeight="1" x14ac:dyDescent="0.25">
      <c r="D177" s="138"/>
      <c r="E177" s="138"/>
      <c r="L177" s="138"/>
      <c r="O177" s="138"/>
      <c r="R177" s="138"/>
      <c r="U177" s="138"/>
      <c r="X177" s="138"/>
    </row>
    <row r="178" spans="4:24" ht="12.75" customHeight="1" x14ac:dyDescent="0.25">
      <c r="D178" s="138"/>
      <c r="E178" s="138"/>
      <c r="L178" s="138"/>
      <c r="O178" s="138"/>
      <c r="R178" s="138"/>
      <c r="U178" s="138"/>
      <c r="X178" s="138"/>
    </row>
    <row r="179" spans="4:24" ht="12.75" customHeight="1" x14ac:dyDescent="0.25">
      <c r="D179" s="138"/>
      <c r="E179" s="138"/>
      <c r="L179" s="138"/>
      <c r="O179" s="138"/>
      <c r="R179" s="138"/>
      <c r="U179" s="138"/>
      <c r="X179" s="138"/>
    </row>
    <row r="180" spans="4:24" ht="12.75" customHeight="1" x14ac:dyDescent="0.25">
      <c r="D180" s="138"/>
      <c r="E180" s="138"/>
      <c r="L180" s="138"/>
      <c r="O180" s="138"/>
      <c r="R180" s="138"/>
      <c r="U180" s="138"/>
      <c r="X180" s="138"/>
    </row>
    <row r="181" spans="4:24" ht="12.75" customHeight="1" x14ac:dyDescent="0.25">
      <c r="D181" s="138"/>
      <c r="E181" s="138"/>
      <c r="L181" s="138"/>
      <c r="O181" s="138"/>
      <c r="R181" s="138"/>
      <c r="U181" s="138"/>
      <c r="X181" s="138"/>
    </row>
    <row r="182" spans="4:24" ht="12.75" customHeight="1" x14ac:dyDescent="0.25">
      <c r="D182" s="138"/>
      <c r="E182" s="138"/>
      <c r="L182" s="138"/>
      <c r="O182" s="138"/>
      <c r="R182" s="138"/>
      <c r="U182" s="138"/>
      <c r="X182" s="138"/>
    </row>
    <row r="183" spans="4:24" ht="12.75" customHeight="1" x14ac:dyDescent="0.25">
      <c r="D183" s="138"/>
      <c r="E183" s="138"/>
      <c r="L183" s="138"/>
      <c r="O183" s="138"/>
      <c r="R183" s="138"/>
      <c r="U183" s="138"/>
      <c r="X183" s="138"/>
    </row>
    <row r="184" spans="4:24" ht="12.75" customHeight="1" x14ac:dyDescent="0.25">
      <c r="D184" s="138"/>
      <c r="E184" s="138"/>
      <c r="L184" s="138"/>
      <c r="O184" s="138"/>
      <c r="R184" s="138"/>
      <c r="U184" s="138"/>
      <c r="X184" s="138"/>
    </row>
    <row r="185" spans="4:24" ht="12.75" customHeight="1" x14ac:dyDescent="0.25">
      <c r="D185" s="138"/>
      <c r="E185" s="138"/>
      <c r="L185" s="138"/>
      <c r="O185" s="138"/>
      <c r="R185" s="138"/>
      <c r="U185" s="138"/>
      <c r="X185" s="138"/>
    </row>
    <row r="186" spans="4:24" ht="12.75" customHeight="1" x14ac:dyDescent="0.25">
      <c r="D186" s="138"/>
      <c r="E186" s="138"/>
      <c r="L186" s="138"/>
      <c r="O186" s="138"/>
      <c r="R186" s="138"/>
      <c r="U186" s="138"/>
      <c r="X186" s="138"/>
    </row>
    <row r="187" spans="4:24" ht="12.75" customHeight="1" x14ac:dyDescent="0.25">
      <c r="D187" s="138"/>
      <c r="E187" s="138"/>
      <c r="L187" s="138"/>
      <c r="O187" s="138"/>
      <c r="R187" s="138"/>
      <c r="U187" s="138"/>
      <c r="X187" s="138"/>
    </row>
    <row r="188" spans="4:24" ht="12.75" customHeight="1" x14ac:dyDescent="0.25">
      <c r="D188" s="138"/>
      <c r="E188" s="138"/>
      <c r="L188" s="138"/>
      <c r="O188" s="138"/>
      <c r="R188" s="138"/>
      <c r="U188" s="138"/>
      <c r="X188" s="138"/>
    </row>
    <row r="189" spans="4:24" ht="12.75" customHeight="1" x14ac:dyDescent="0.25">
      <c r="D189" s="138"/>
      <c r="E189" s="138"/>
      <c r="L189" s="138"/>
      <c r="O189" s="138"/>
      <c r="R189" s="138"/>
      <c r="U189" s="138"/>
      <c r="X189" s="138"/>
    </row>
    <row r="190" spans="4:24" ht="12.75" customHeight="1" x14ac:dyDescent="0.25">
      <c r="D190" s="138"/>
      <c r="E190" s="138"/>
      <c r="L190" s="138"/>
      <c r="O190" s="138"/>
      <c r="R190" s="138"/>
      <c r="U190" s="138"/>
      <c r="X190" s="138"/>
    </row>
    <row r="191" spans="4:24" ht="12.75" customHeight="1" x14ac:dyDescent="0.25">
      <c r="D191" s="138"/>
      <c r="E191" s="138"/>
      <c r="L191" s="138"/>
      <c r="O191" s="138"/>
      <c r="R191" s="138"/>
      <c r="U191" s="138"/>
      <c r="X191" s="138"/>
    </row>
    <row r="192" spans="4:24" ht="12.75" customHeight="1" x14ac:dyDescent="0.25">
      <c r="D192" s="138"/>
      <c r="E192" s="138"/>
      <c r="L192" s="138"/>
      <c r="O192" s="138"/>
      <c r="R192" s="138"/>
      <c r="U192" s="138"/>
      <c r="X192" s="138"/>
    </row>
    <row r="193" spans="4:24" ht="12.75" customHeight="1" x14ac:dyDescent="0.25">
      <c r="D193" s="138"/>
      <c r="E193" s="138"/>
      <c r="L193" s="138"/>
      <c r="O193" s="138"/>
      <c r="R193" s="138"/>
      <c r="U193" s="138"/>
      <c r="X193" s="138"/>
    </row>
    <row r="194" spans="4:24" ht="12.75" customHeight="1" x14ac:dyDescent="0.25">
      <c r="D194" s="138"/>
      <c r="E194" s="138"/>
      <c r="L194" s="138"/>
      <c r="O194" s="138"/>
      <c r="R194" s="138"/>
      <c r="U194" s="138"/>
      <c r="X194" s="138"/>
    </row>
    <row r="195" spans="4:24" ht="12.75" customHeight="1" x14ac:dyDescent="0.25">
      <c r="D195" s="138"/>
      <c r="E195" s="138"/>
      <c r="L195" s="138"/>
      <c r="O195" s="138"/>
      <c r="R195" s="138"/>
      <c r="U195" s="138"/>
      <c r="X195" s="138"/>
    </row>
    <row r="196" spans="4:24" ht="12.75" customHeight="1" x14ac:dyDescent="0.25">
      <c r="D196" s="138"/>
      <c r="E196" s="138"/>
      <c r="L196" s="138"/>
      <c r="O196" s="138"/>
      <c r="R196" s="138"/>
      <c r="U196" s="138"/>
      <c r="X196" s="138"/>
    </row>
    <row r="197" spans="4:24" ht="12.75" customHeight="1" x14ac:dyDescent="0.25">
      <c r="D197" s="138"/>
      <c r="E197" s="138"/>
      <c r="L197" s="138"/>
      <c r="O197" s="138"/>
      <c r="R197" s="138"/>
      <c r="U197" s="138"/>
      <c r="X197" s="138"/>
    </row>
    <row r="198" spans="4:24" ht="12.75" customHeight="1" x14ac:dyDescent="0.25">
      <c r="D198" s="138"/>
      <c r="E198" s="138"/>
      <c r="L198" s="138"/>
      <c r="O198" s="138"/>
      <c r="R198" s="138"/>
      <c r="U198" s="138"/>
      <c r="X198" s="138"/>
    </row>
    <row r="199" spans="4:24" ht="12.75" customHeight="1" x14ac:dyDescent="0.25">
      <c r="D199" s="138"/>
      <c r="E199" s="138"/>
      <c r="L199" s="138"/>
      <c r="O199" s="138"/>
      <c r="R199" s="138"/>
      <c r="U199" s="138"/>
      <c r="X199" s="138"/>
    </row>
    <row r="200" spans="4:24" ht="12.75" customHeight="1" x14ac:dyDescent="0.25">
      <c r="D200" s="138"/>
      <c r="E200" s="138"/>
      <c r="L200" s="138"/>
      <c r="O200" s="138"/>
      <c r="R200" s="138"/>
      <c r="U200" s="138"/>
      <c r="X200" s="138"/>
    </row>
    <row r="201" spans="4:24" ht="12.75" customHeight="1" x14ac:dyDescent="0.25">
      <c r="D201" s="138"/>
      <c r="E201" s="138"/>
      <c r="L201" s="138"/>
      <c r="O201" s="138"/>
      <c r="R201" s="138"/>
      <c r="U201" s="138"/>
      <c r="X201" s="138"/>
    </row>
    <row r="202" spans="4:24" ht="12.75" customHeight="1" x14ac:dyDescent="0.25">
      <c r="D202" s="138"/>
      <c r="E202" s="138"/>
      <c r="L202" s="138"/>
      <c r="O202" s="138"/>
      <c r="R202" s="138"/>
      <c r="U202" s="138"/>
      <c r="X202" s="138"/>
    </row>
    <row r="203" spans="4:24" ht="12.75" customHeight="1" x14ac:dyDescent="0.25">
      <c r="D203" s="138"/>
      <c r="E203" s="138"/>
      <c r="L203" s="138"/>
      <c r="O203" s="138"/>
      <c r="R203" s="138"/>
      <c r="U203" s="138"/>
      <c r="X203" s="138"/>
    </row>
    <row r="204" spans="4:24" ht="12.75" customHeight="1" x14ac:dyDescent="0.25">
      <c r="D204" s="138"/>
      <c r="E204" s="138"/>
      <c r="L204" s="138"/>
      <c r="O204" s="138"/>
      <c r="R204" s="138"/>
      <c r="U204" s="138"/>
      <c r="X204" s="138"/>
    </row>
    <row r="205" spans="4:24" ht="12.75" customHeight="1" x14ac:dyDescent="0.25">
      <c r="D205" s="138"/>
      <c r="E205" s="138"/>
      <c r="L205" s="138"/>
      <c r="O205" s="138"/>
      <c r="R205" s="138"/>
      <c r="U205" s="138"/>
      <c r="X205" s="138"/>
    </row>
    <row r="206" spans="4:24" ht="12.75" customHeight="1" x14ac:dyDescent="0.25">
      <c r="D206" s="138"/>
      <c r="E206" s="138"/>
      <c r="L206" s="138"/>
      <c r="O206" s="138"/>
      <c r="R206" s="138"/>
      <c r="U206" s="138"/>
      <c r="X206" s="138"/>
    </row>
    <row r="207" spans="4:24" ht="12.75" customHeight="1" x14ac:dyDescent="0.25">
      <c r="D207" s="138"/>
      <c r="E207" s="138"/>
      <c r="L207" s="138"/>
      <c r="O207" s="138"/>
      <c r="R207" s="138"/>
      <c r="U207" s="138"/>
      <c r="X207" s="138"/>
    </row>
    <row r="208" spans="4:24" ht="12.75" customHeight="1" x14ac:dyDescent="0.25">
      <c r="D208" s="138"/>
      <c r="E208" s="138"/>
      <c r="L208" s="138"/>
      <c r="O208" s="138"/>
      <c r="R208" s="138"/>
      <c r="U208" s="138"/>
      <c r="X208" s="138"/>
    </row>
    <row r="209" spans="4:24" ht="12.75" customHeight="1" x14ac:dyDescent="0.25">
      <c r="D209" s="138"/>
      <c r="E209" s="138"/>
      <c r="L209" s="138"/>
      <c r="O209" s="138"/>
      <c r="R209" s="138"/>
      <c r="U209" s="138"/>
      <c r="X209" s="138"/>
    </row>
    <row r="210" spans="4:24" ht="12.75" customHeight="1" x14ac:dyDescent="0.25">
      <c r="D210" s="138"/>
      <c r="E210" s="138"/>
      <c r="L210" s="138"/>
      <c r="O210" s="138"/>
      <c r="R210" s="138"/>
      <c r="U210" s="138"/>
      <c r="X210" s="138"/>
    </row>
    <row r="211" spans="4:24" ht="12.75" customHeight="1" x14ac:dyDescent="0.25">
      <c r="D211" s="138"/>
      <c r="E211" s="138"/>
      <c r="L211" s="138"/>
      <c r="O211" s="138"/>
      <c r="R211" s="138"/>
      <c r="U211" s="138"/>
      <c r="X211" s="138"/>
    </row>
    <row r="212" spans="4:24" ht="12.75" customHeight="1" x14ac:dyDescent="0.25">
      <c r="D212" s="138"/>
      <c r="E212" s="138"/>
      <c r="L212" s="138"/>
      <c r="O212" s="138"/>
      <c r="R212" s="138"/>
      <c r="U212" s="138"/>
      <c r="X212" s="138"/>
    </row>
    <row r="213" spans="4:24" ht="12.75" customHeight="1" x14ac:dyDescent="0.25">
      <c r="D213" s="138"/>
      <c r="E213" s="138"/>
      <c r="L213" s="138"/>
      <c r="O213" s="138"/>
      <c r="R213" s="138"/>
      <c r="U213" s="138"/>
      <c r="X213" s="138"/>
    </row>
    <row r="214" spans="4:24" ht="12.75" customHeight="1" x14ac:dyDescent="0.25">
      <c r="D214" s="138"/>
      <c r="E214" s="138"/>
      <c r="L214" s="138"/>
      <c r="O214" s="138"/>
      <c r="R214" s="138"/>
      <c r="U214" s="138"/>
      <c r="X214" s="138"/>
    </row>
    <row r="215" spans="4:24" ht="12.75" customHeight="1" x14ac:dyDescent="0.25">
      <c r="D215" s="138"/>
      <c r="E215" s="138"/>
      <c r="L215" s="138"/>
      <c r="O215" s="138"/>
      <c r="R215" s="138"/>
      <c r="U215" s="138"/>
      <c r="X215" s="138"/>
    </row>
    <row r="216" spans="4:24" ht="12.75" customHeight="1" x14ac:dyDescent="0.25">
      <c r="D216" s="138"/>
      <c r="E216" s="138"/>
      <c r="L216" s="138"/>
      <c r="O216" s="138"/>
      <c r="R216" s="138"/>
      <c r="U216" s="138"/>
      <c r="X216" s="138"/>
    </row>
    <row r="217" spans="4:24" ht="12.75" customHeight="1" x14ac:dyDescent="0.25">
      <c r="D217" s="138"/>
      <c r="E217" s="138"/>
      <c r="L217" s="138"/>
      <c r="O217" s="138"/>
      <c r="R217" s="138"/>
      <c r="U217" s="138"/>
      <c r="X217" s="138"/>
    </row>
    <row r="218" spans="4:24" ht="12.75" customHeight="1" x14ac:dyDescent="0.25">
      <c r="D218" s="138"/>
      <c r="E218" s="138"/>
      <c r="L218" s="138"/>
      <c r="O218" s="138"/>
      <c r="R218" s="138"/>
      <c r="U218" s="138"/>
      <c r="X218" s="138"/>
    </row>
    <row r="219" spans="4:24" ht="12.75" customHeight="1" x14ac:dyDescent="0.25">
      <c r="D219" s="138"/>
      <c r="E219" s="138"/>
      <c r="L219" s="138"/>
      <c r="O219" s="138"/>
      <c r="R219" s="138"/>
      <c r="U219" s="138"/>
      <c r="X219" s="138"/>
    </row>
    <row r="220" spans="4:24" ht="12.75" customHeight="1" x14ac:dyDescent="0.25">
      <c r="D220" s="138"/>
      <c r="E220" s="138"/>
      <c r="L220" s="138"/>
      <c r="O220" s="138"/>
      <c r="R220" s="138"/>
      <c r="U220" s="138"/>
      <c r="X220" s="138"/>
    </row>
    <row r="221" spans="4:24" ht="12.75" customHeight="1" x14ac:dyDescent="0.25">
      <c r="D221" s="138"/>
      <c r="E221" s="138"/>
      <c r="L221" s="138"/>
      <c r="O221" s="138"/>
      <c r="R221" s="138"/>
      <c r="U221" s="138"/>
      <c r="X221" s="138"/>
    </row>
    <row r="222" spans="4:24" ht="12.75" customHeight="1" x14ac:dyDescent="0.25">
      <c r="D222" s="138"/>
      <c r="E222" s="138"/>
      <c r="L222" s="138"/>
      <c r="O222" s="138"/>
      <c r="R222" s="138"/>
      <c r="U222" s="138"/>
      <c r="X222" s="138"/>
    </row>
    <row r="223" spans="4:24" ht="12.75" customHeight="1" x14ac:dyDescent="0.25">
      <c r="D223" s="138"/>
      <c r="E223" s="138"/>
      <c r="L223" s="138"/>
      <c r="O223" s="138"/>
      <c r="R223" s="138"/>
      <c r="U223" s="138"/>
      <c r="X223" s="138"/>
    </row>
    <row r="224" spans="4:24" ht="12.75" customHeight="1" x14ac:dyDescent="0.25">
      <c r="D224" s="138"/>
      <c r="E224" s="138"/>
      <c r="L224" s="138"/>
      <c r="O224" s="138"/>
      <c r="R224" s="138"/>
      <c r="U224" s="138"/>
      <c r="X224" s="138"/>
    </row>
    <row r="225" spans="4:24" ht="12.75" customHeight="1" x14ac:dyDescent="0.25">
      <c r="D225" s="138"/>
      <c r="E225" s="138"/>
      <c r="L225" s="138"/>
      <c r="O225" s="138"/>
      <c r="R225" s="138"/>
      <c r="U225" s="138"/>
      <c r="X225" s="138"/>
    </row>
    <row r="226" spans="4:24" ht="12.75" customHeight="1" x14ac:dyDescent="0.25">
      <c r="D226" s="138"/>
      <c r="E226" s="138"/>
      <c r="L226" s="138"/>
      <c r="O226" s="138"/>
      <c r="R226" s="138"/>
      <c r="U226" s="138"/>
      <c r="X226" s="138"/>
    </row>
    <row r="227" spans="4:24" ht="12.75" customHeight="1" x14ac:dyDescent="0.25">
      <c r="D227" s="138"/>
      <c r="E227" s="138"/>
      <c r="L227" s="138"/>
      <c r="O227" s="138"/>
      <c r="R227" s="138"/>
      <c r="U227" s="138"/>
      <c r="X227" s="138"/>
    </row>
    <row r="228" spans="4:24" ht="12.75" customHeight="1" x14ac:dyDescent="0.25">
      <c r="D228" s="138"/>
      <c r="E228" s="138"/>
      <c r="L228" s="138"/>
      <c r="O228" s="138"/>
      <c r="R228" s="138"/>
      <c r="U228" s="138"/>
      <c r="X228" s="138"/>
    </row>
    <row r="229" spans="4:24" ht="12.75" customHeight="1" x14ac:dyDescent="0.25">
      <c r="D229" s="138"/>
      <c r="E229" s="138"/>
      <c r="L229" s="138"/>
      <c r="O229" s="138"/>
      <c r="R229" s="138"/>
      <c r="U229" s="138"/>
      <c r="X229" s="138"/>
    </row>
    <row r="230" spans="4:24" ht="12.75" customHeight="1" x14ac:dyDescent="0.25">
      <c r="D230" s="138"/>
      <c r="E230" s="138"/>
      <c r="L230" s="138"/>
      <c r="O230" s="138"/>
      <c r="R230" s="138"/>
      <c r="U230" s="138"/>
      <c r="X230" s="138"/>
    </row>
    <row r="231" spans="4:24" ht="12.75" customHeight="1" x14ac:dyDescent="0.25">
      <c r="D231" s="138"/>
      <c r="E231" s="138"/>
      <c r="L231" s="138"/>
      <c r="O231" s="138"/>
      <c r="R231" s="138"/>
      <c r="U231" s="138"/>
      <c r="X231" s="138"/>
    </row>
    <row r="232" spans="4:24" ht="12.75" customHeight="1" x14ac:dyDescent="0.25">
      <c r="D232" s="138"/>
      <c r="E232" s="138"/>
      <c r="L232" s="138"/>
      <c r="O232" s="138"/>
      <c r="R232" s="138"/>
      <c r="U232" s="138"/>
      <c r="X232" s="138"/>
    </row>
    <row r="233" spans="4:24" ht="12.75" customHeight="1" x14ac:dyDescent="0.25">
      <c r="D233" s="138"/>
      <c r="E233" s="138"/>
      <c r="L233" s="138"/>
      <c r="O233" s="138"/>
      <c r="R233" s="138"/>
      <c r="U233" s="138"/>
      <c r="X233" s="138"/>
    </row>
    <row r="234" spans="4:24" ht="12.75" customHeight="1" x14ac:dyDescent="0.25">
      <c r="D234" s="138"/>
      <c r="E234" s="138"/>
      <c r="L234" s="138"/>
      <c r="O234" s="138"/>
      <c r="R234" s="138"/>
      <c r="U234" s="138"/>
      <c r="X234" s="138"/>
    </row>
    <row r="235" spans="4:24" ht="12.75" customHeight="1" x14ac:dyDescent="0.25">
      <c r="D235" s="138"/>
      <c r="E235" s="138"/>
      <c r="L235" s="138"/>
      <c r="O235" s="138"/>
      <c r="R235" s="138"/>
      <c r="U235" s="138"/>
      <c r="X235" s="138"/>
    </row>
    <row r="236" spans="4:24" ht="12.75" customHeight="1" x14ac:dyDescent="0.25">
      <c r="D236" s="138"/>
      <c r="E236" s="138"/>
      <c r="L236" s="138"/>
      <c r="O236" s="138"/>
      <c r="R236" s="138"/>
      <c r="U236" s="138"/>
      <c r="X236" s="138"/>
    </row>
    <row r="237" spans="4:24" ht="12.75" customHeight="1" x14ac:dyDescent="0.25">
      <c r="D237" s="138"/>
      <c r="E237" s="138"/>
      <c r="L237" s="138"/>
      <c r="O237" s="138"/>
      <c r="R237" s="138"/>
      <c r="U237" s="138"/>
      <c r="X237" s="138"/>
    </row>
    <row r="238" spans="4:24" ht="12.75" customHeight="1" x14ac:dyDescent="0.25">
      <c r="D238" s="138"/>
      <c r="E238" s="138"/>
      <c r="L238" s="138"/>
      <c r="O238" s="138"/>
      <c r="R238" s="138"/>
      <c r="U238" s="138"/>
      <c r="X238" s="138"/>
    </row>
    <row r="239" spans="4:24" ht="12.75" customHeight="1" x14ac:dyDescent="0.25">
      <c r="D239" s="138"/>
      <c r="E239" s="138"/>
      <c r="L239" s="138"/>
      <c r="O239" s="138"/>
      <c r="R239" s="138"/>
      <c r="U239" s="138"/>
      <c r="X239" s="138"/>
    </row>
    <row r="240" spans="4:24" ht="12.75" customHeight="1" x14ac:dyDescent="0.25">
      <c r="D240" s="138"/>
      <c r="E240" s="138"/>
      <c r="L240" s="138"/>
      <c r="O240" s="138"/>
      <c r="R240" s="138"/>
      <c r="U240" s="138"/>
      <c r="X240" s="138"/>
    </row>
    <row r="241" spans="4:24" ht="12.75" customHeight="1" x14ac:dyDescent="0.25">
      <c r="D241" s="138"/>
      <c r="E241" s="138"/>
      <c r="L241" s="138"/>
      <c r="O241" s="138"/>
      <c r="R241" s="138"/>
      <c r="U241" s="138"/>
      <c r="X241" s="138"/>
    </row>
    <row r="242" spans="4:24" ht="12.75" customHeight="1" x14ac:dyDescent="0.25">
      <c r="D242" s="138"/>
      <c r="E242" s="138"/>
      <c r="L242" s="138"/>
      <c r="O242" s="138"/>
      <c r="R242" s="138"/>
      <c r="U242" s="138"/>
      <c r="X242" s="138"/>
    </row>
    <row r="243" spans="4:24" ht="12.75" customHeight="1" x14ac:dyDescent="0.25">
      <c r="D243" s="138"/>
      <c r="E243" s="138"/>
      <c r="L243" s="138"/>
      <c r="O243" s="138"/>
      <c r="R243" s="138"/>
      <c r="U243" s="138"/>
      <c r="X243" s="138"/>
    </row>
    <row r="244" spans="4:24" ht="12.75" customHeight="1" x14ac:dyDescent="0.25">
      <c r="D244" s="138"/>
      <c r="E244" s="138"/>
      <c r="L244" s="138"/>
      <c r="O244" s="138"/>
      <c r="R244" s="138"/>
      <c r="U244" s="138"/>
      <c r="X244" s="138"/>
    </row>
    <row r="245" spans="4:24" ht="12.75" customHeight="1" x14ac:dyDescent="0.25">
      <c r="D245" s="138"/>
      <c r="E245" s="138"/>
      <c r="L245" s="138"/>
      <c r="O245" s="138"/>
      <c r="R245" s="138"/>
      <c r="U245" s="138"/>
      <c r="X245" s="138"/>
    </row>
    <row r="246" spans="4:24" ht="12.75" customHeight="1" x14ac:dyDescent="0.25">
      <c r="D246" s="138"/>
      <c r="E246" s="138"/>
      <c r="L246" s="138"/>
      <c r="O246" s="138"/>
      <c r="R246" s="138"/>
      <c r="U246" s="138"/>
      <c r="X246" s="138"/>
    </row>
    <row r="247" spans="4:24" ht="12.75" customHeight="1" x14ac:dyDescent="0.25">
      <c r="D247" s="138"/>
      <c r="E247" s="138"/>
      <c r="L247" s="138"/>
      <c r="O247" s="138"/>
      <c r="R247" s="138"/>
      <c r="U247" s="138"/>
      <c r="X247" s="138"/>
    </row>
    <row r="248" spans="4:24" ht="12.75" customHeight="1" x14ac:dyDescent="0.25">
      <c r="D248" s="138"/>
      <c r="E248" s="138"/>
      <c r="L248" s="138"/>
      <c r="O248" s="138"/>
      <c r="R248" s="138"/>
      <c r="U248" s="138"/>
      <c r="X248" s="138"/>
    </row>
    <row r="249" spans="4:24" ht="12.75" customHeight="1" x14ac:dyDescent="0.25">
      <c r="D249" s="138"/>
      <c r="E249" s="138"/>
      <c r="L249" s="138"/>
      <c r="O249" s="138"/>
      <c r="R249" s="138"/>
      <c r="U249" s="138"/>
      <c r="X249" s="138"/>
    </row>
    <row r="250" spans="4:24" ht="12.75" customHeight="1" x14ac:dyDescent="0.25">
      <c r="D250" s="138"/>
      <c r="E250" s="138"/>
      <c r="L250" s="138"/>
      <c r="O250" s="138"/>
      <c r="R250" s="138"/>
      <c r="U250" s="138"/>
      <c r="X250" s="138"/>
    </row>
    <row r="251" spans="4:24" ht="12.75" customHeight="1" x14ac:dyDescent="0.25">
      <c r="D251" s="138"/>
      <c r="E251" s="138"/>
      <c r="L251" s="138"/>
      <c r="O251" s="138"/>
      <c r="R251" s="138"/>
      <c r="U251" s="138"/>
      <c r="X251" s="138"/>
    </row>
    <row r="252" spans="4:24" ht="12.75" customHeight="1" x14ac:dyDescent="0.25">
      <c r="D252" s="138"/>
      <c r="E252" s="138"/>
      <c r="L252" s="138"/>
      <c r="O252" s="138"/>
      <c r="R252" s="138"/>
      <c r="U252" s="138"/>
      <c r="X252" s="138"/>
    </row>
    <row r="253" spans="4:24" ht="12.75" customHeight="1" x14ac:dyDescent="0.25">
      <c r="D253" s="138"/>
      <c r="E253" s="138"/>
      <c r="L253" s="138"/>
      <c r="O253" s="138"/>
      <c r="R253" s="138"/>
      <c r="U253" s="138"/>
      <c r="X253" s="138"/>
    </row>
    <row r="254" spans="4:24" ht="12.75" customHeight="1" x14ac:dyDescent="0.25">
      <c r="D254" s="138"/>
      <c r="E254" s="138"/>
      <c r="L254" s="138"/>
      <c r="O254" s="138"/>
      <c r="R254" s="138"/>
      <c r="U254" s="138"/>
      <c r="X254" s="138"/>
    </row>
    <row r="255" spans="4:24" ht="12.75" customHeight="1" x14ac:dyDescent="0.25">
      <c r="D255" s="138"/>
      <c r="E255" s="138"/>
      <c r="L255" s="138"/>
      <c r="O255" s="138"/>
      <c r="R255" s="138"/>
      <c r="U255" s="138"/>
      <c r="X255" s="138"/>
    </row>
    <row r="256" spans="4:24" ht="12.75" customHeight="1" x14ac:dyDescent="0.25">
      <c r="D256" s="138"/>
      <c r="E256" s="138"/>
      <c r="L256" s="138"/>
      <c r="O256" s="138"/>
      <c r="R256" s="138"/>
      <c r="U256" s="138"/>
      <c r="X256" s="138"/>
    </row>
    <row r="257" spans="4:24" ht="12.75" customHeight="1" x14ac:dyDescent="0.25">
      <c r="D257" s="138"/>
      <c r="E257" s="138"/>
      <c r="L257" s="138"/>
      <c r="O257" s="138"/>
      <c r="R257" s="138"/>
      <c r="U257" s="138"/>
      <c r="X257" s="138"/>
    </row>
    <row r="258" spans="4:24" ht="12.75" customHeight="1" x14ac:dyDescent="0.25">
      <c r="D258" s="138"/>
      <c r="E258" s="138"/>
      <c r="L258" s="138"/>
      <c r="O258" s="138"/>
      <c r="R258" s="138"/>
      <c r="U258" s="138"/>
      <c r="X258" s="138"/>
    </row>
    <row r="259" spans="4:24" ht="12.75" customHeight="1" x14ac:dyDescent="0.25">
      <c r="D259" s="138"/>
      <c r="E259" s="138"/>
      <c r="L259" s="138"/>
      <c r="O259" s="138"/>
      <c r="R259" s="138"/>
      <c r="U259" s="138"/>
      <c r="X259" s="138"/>
    </row>
    <row r="260" spans="4:24" ht="12.75" customHeight="1" x14ac:dyDescent="0.25">
      <c r="D260" s="138"/>
      <c r="E260" s="138"/>
      <c r="L260" s="138"/>
      <c r="O260" s="138"/>
      <c r="R260" s="138"/>
      <c r="U260" s="138"/>
      <c r="X260" s="138"/>
    </row>
    <row r="261" spans="4:24" ht="12.75" customHeight="1" x14ac:dyDescent="0.25">
      <c r="D261" s="138"/>
      <c r="E261" s="138"/>
      <c r="L261" s="138"/>
      <c r="O261" s="138"/>
      <c r="R261" s="138"/>
      <c r="U261" s="138"/>
      <c r="X261" s="138"/>
    </row>
    <row r="262" spans="4:24" ht="12.75" customHeight="1" x14ac:dyDescent="0.25">
      <c r="D262" s="138"/>
      <c r="E262" s="138"/>
      <c r="L262" s="138"/>
      <c r="O262" s="138"/>
      <c r="R262" s="138"/>
      <c r="U262" s="138"/>
      <c r="X262" s="138"/>
    </row>
    <row r="263" spans="4:24" ht="12.75" customHeight="1" x14ac:dyDescent="0.25">
      <c r="D263" s="138"/>
      <c r="E263" s="138"/>
      <c r="L263" s="138"/>
      <c r="O263" s="138"/>
      <c r="R263" s="138"/>
      <c r="U263" s="138"/>
      <c r="X263" s="138"/>
    </row>
    <row r="264" spans="4:24" ht="12.75" customHeight="1" x14ac:dyDescent="0.25">
      <c r="D264" s="138"/>
      <c r="E264" s="138"/>
      <c r="L264" s="138"/>
      <c r="O264" s="138"/>
      <c r="R264" s="138"/>
      <c r="U264" s="138"/>
      <c r="X264" s="138"/>
    </row>
    <row r="265" spans="4:24" ht="12.75" customHeight="1" x14ac:dyDescent="0.25">
      <c r="D265" s="138"/>
      <c r="E265" s="138"/>
      <c r="L265" s="138"/>
      <c r="O265" s="138"/>
      <c r="R265" s="138"/>
      <c r="U265" s="138"/>
      <c r="X265" s="138"/>
    </row>
    <row r="266" spans="4:24" ht="12.75" customHeight="1" x14ac:dyDescent="0.25">
      <c r="D266" s="138"/>
      <c r="E266" s="138"/>
      <c r="L266" s="138"/>
      <c r="O266" s="138"/>
      <c r="R266" s="138"/>
      <c r="U266" s="138"/>
      <c r="X266" s="138"/>
    </row>
    <row r="267" spans="4:24" ht="12.75" customHeight="1" x14ac:dyDescent="0.25">
      <c r="D267" s="138"/>
      <c r="E267" s="138"/>
      <c r="L267" s="138"/>
      <c r="O267" s="138"/>
      <c r="R267" s="138"/>
      <c r="U267" s="138"/>
      <c r="X267" s="138"/>
    </row>
    <row r="268" spans="4:24" ht="12.75" customHeight="1" x14ac:dyDescent="0.25">
      <c r="D268" s="138"/>
      <c r="E268" s="138"/>
      <c r="L268" s="138"/>
      <c r="O268" s="138"/>
      <c r="R268" s="138"/>
      <c r="U268" s="138"/>
      <c r="X268" s="138"/>
    </row>
    <row r="269" spans="4:24" ht="12.75" customHeight="1" x14ac:dyDescent="0.25">
      <c r="D269" s="138"/>
      <c r="E269" s="138"/>
      <c r="L269" s="138"/>
      <c r="O269" s="138"/>
      <c r="R269" s="138"/>
      <c r="U269" s="138"/>
      <c r="X269" s="138"/>
    </row>
    <row r="270" spans="4:24" ht="12.75" customHeight="1" x14ac:dyDescent="0.25">
      <c r="D270" s="138"/>
      <c r="E270" s="138"/>
      <c r="L270" s="138"/>
      <c r="O270" s="138"/>
      <c r="R270" s="138"/>
      <c r="U270" s="138"/>
      <c r="X270" s="138"/>
    </row>
    <row r="271" spans="4:24" ht="12.75" customHeight="1" x14ac:dyDescent="0.25">
      <c r="D271" s="138"/>
      <c r="E271" s="138"/>
      <c r="L271" s="138"/>
      <c r="O271" s="138"/>
      <c r="R271" s="138"/>
      <c r="U271" s="138"/>
      <c r="X271" s="138"/>
    </row>
    <row r="272" spans="4:24" ht="12.75" customHeight="1" x14ac:dyDescent="0.25">
      <c r="D272" s="138"/>
      <c r="E272" s="138"/>
      <c r="L272" s="138"/>
      <c r="O272" s="138"/>
      <c r="R272" s="138"/>
      <c r="U272" s="138"/>
      <c r="X272" s="138"/>
    </row>
    <row r="273" spans="4:24" ht="12.75" customHeight="1" x14ac:dyDescent="0.25">
      <c r="D273" s="138"/>
      <c r="E273" s="138"/>
      <c r="L273" s="138"/>
      <c r="O273" s="138"/>
      <c r="R273" s="138"/>
      <c r="U273" s="138"/>
      <c r="X273" s="138"/>
    </row>
    <row r="274" spans="4:24" ht="12.75" customHeight="1" x14ac:dyDescent="0.25">
      <c r="D274" s="138"/>
      <c r="E274" s="138"/>
      <c r="L274" s="138"/>
      <c r="O274" s="138"/>
      <c r="R274" s="138"/>
      <c r="U274" s="138"/>
      <c r="X274" s="138"/>
    </row>
    <row r="275" spans="4:24" ht="12.75" customHeight="1" x14ac:dyDescent="0.25">
      <c r="D275" s="138"/>
      <c r="E275" s="138"/>
      <c r="L275" s="138"/>
      <c r="O275" s="138"/>
      <c r="R275" s="138"/>
      <c r="U275" s="138"/>
      <c r="X275" s="138"/>
    </row>
    <row r="276" spans="4:24" ht="12.75" customHeight="1" x14ac:dyDescent="0.25">
      <c r="D276" s="138"/>
      <c r="E276" s="138"/>
      <c r="L276" s="138"/>
      <c r="O276" s="138"/>
      <c r="R276" s="138"/>
      <c r="U276" s="138"/>
      <c r="X276" s="138"/>
    </row>
    <row r="277" spans="4:24" ht="12.75" customHeight="1" x14ac:dyDescent="0.25">
      <c r="D277" s="138"/>
      <c r="E277" s="138"/>
      <c r="L277" s="138"/>
      <c r="O277" s="138"/>
      <c r="R277" s="138"/>
      <c r="U277" s="138"/>
      <c r="X277" s="138"/>
    </row>
    <row r="278" spans="4:24" ht="12.75" customHeight="1" x14ac:dyDescent="0.25">
      <c r="D278" s="138"/>
      <c r="E278" s="138"/>
      <c r="L278" s="138"/>
      <c r="O278" s="138"/>
      <c r="R278" s="138"/>
      <c r="U278" s="138"/>
      <c r="X278" s="138"/>
    </row>
    <row r="279" spans="4:24" ht="12.75" customHeight="1" x14ac:dyDescent="0.25">
      <c r="D279" s="138"/>
      <c r="E279" s="138"/>
      <c r="L279" s="138"/>
      <c r="O279" s="138"/>
      <c r="R279" s="138"/>
      <c r="U279" s="138"/>
      <c r="X279" s="138"/>
    </row>
    <row r="280" spans="4:24" ht="12.75" customHeight="1" x14ac:dyDescent="0.25">
      <c r="D280" s="138"/>
      <c r="E280" s="138"/>
      <c r="L280" s="138"/>
      <c r="O280" s="138"/>
      <c r="R280" s="138"/>
      <c r="U280" s="138"/>
      <c r="X280" s="138"/>
    </row>
    <row r="281" spans="4:24" ht="12.75" customHeight="1" x14ac:dyDescent="0.25">
      <c r="D281" s="138"/>
      <c r="E281" s="138"/>
      <c r="L281" s="138"/>
      <c r="O281" s="138"/>
      <c r="R281" s="138"/>
      <c r="U281" s="138"/>
      <c r="X281" s="138"/>
    </row>
    <row r="282" spans="4:24" ht="12.75" customHeight="1" x14ac:dyDescent="0.25">
      <c r="D282" s="138"/>
      <c r="E282" s="138"/>
      <c r="L282" s="138"/>
      <c r="O282" s="138"/>
      <c r="R282" s="138"/>
      <c r="U282" s="138"/>
      <c r="X282" s="138"/>
    </row>
    <row r="283" spans="4:24" ht="12.75" customHeight="1" x14ac:dyDescent="0.25">
      <c r="D283" s="138"/>
      <c r="E283" s="138"/>
      <c r="L283" s="138"/>
      <c r="O283" s="138"/>
      <c r="R283" s="138"/>
      <c r="U283" s="138"/>
      <c r="X283" s="138"/>
    </row>
    <row r="284" spans="4:24" ht="12.75" customHeight="1" x14ac:dyDescent="0.25">
      <c r="D284" s="138"/>
      <c r="E284" s="138"/>
      <c r="L284" s="138"/>
      <c r="O284" s="138"/>
      <c r="R284" s="138"/>
      <c r="U284" s="138"/>
      <c r="X284" s="138"/>
    </row>
    <row r="285" spans="4:24" ht="12.75" customHeight="1" x14ac:dyDescent="0.25">
      <c r="D285" s="138"/>
      <c r="E285" s="138"/>
      <c r="L285" s="138"/>
      <c r="O285" s="138"/>
      <c r="R285" s="138"/>
      <c r="U285" s="138"/>
      <c r="X285" s="138"/>
    </row>
    <row r="286" spans="4:24" ht="12.75" customHeight="1" x14ac:dyDescent="0.25">
      <c r="D286" s="138"/>
      <c r="E286" s="138"/>
      <c r="L286" s="138"/>
      <c r="O286" s="138"/>
      <c r="R286" s="138"/>
      <c r="U286" s="138"/>
      <c r="X286" s="138"/>
    </row>
    <row r="287" spans="4:24" ht="12.75" customHeight="1" x14ac:dyDescent="0.25">
      <c r="D287" s="138"/>
      <c r="E287" s="138"/>
      <c r="L287" s="138"/>
      <c r="O287" s="138"/>
      <c r="R287" s="138"/>
      <c r="U287" s="138"/>
      <c r="X287" s="138"/>
    </row>
    <row r="288" spans="4:24" ht="12.75" customHeight="1" x14ac:dyDescent="0.25">
      <c r="D288" s="138"/>
      <c r="E288" s="138"/>
      <c r="L288" s="138"/>
      <c r="O288" s="138"/>
      <c r="R288" s="138"/>
      <c r="U288" s="138"/>
      <c r="X288" s="138"/>
    </row>
    <row r="289" spans="4:24" ht="12.75" customHeight="1" x14ac:dyDescent="0.25">
      <c r="D289" s="138"/>
      <c r="E289" s="138"/>
      <c r="L289" s="138"/>
      <c r="O289" s="138"/>
      <c r="R289" s="138"/>
      <c r="U289" s="138"/>
      <c r="X289" s="138"/>
    </row>
    <row r="290" spans="4:24" ht="12.75" customHeight="1" x14ac:dyDescent="0.25">
      <c r="D290" s="138"/>
      <c r="E290" s="138"/>
      <c r="L290" s="138"/>
      <c r="O290" s="138"/>
      <c r="R290" s="138"/>
      <c r="U290" s="138"/>
      <c r="X290" s="138"/>
    </row>
    <row r="291" spans="4:24" ht="12.75" customHeight="1" x14ac:dyDescent="0.25">
      <c r="D291" s="138"/>
      <c r="E291" s="138"/>
      <c r="L291" s="138"/>
      <c r="O291" s="138"/>
      <c r="R291" s="138"/>
      <c r="U291" s="138"/>
      <c r="X291" s="138"/>
    </row>
    <row r="292" spans="4:24" ht="12.75" customHeight="1" x14ac:dyDescent="0.25">
      <c r="D292" s="138"/>
      <c r="E292" s="138"/>
      <c r="L292" s="138"/>
      <c r="O292" s="138"/>
      <c r="R292" s="138"/>
      <c r="U292" s="138"/>
      <c r="X292" s="138"/>
    </row>
    <row r="293" spans="4:24" ht="12.75" customHeight="1" x14ac:dyDescent="0.25">
      <c r="D293" s="138"/>
      <c r="E293" s="138"/>
      <c r="L293" s="138"/>
      <c r="O293" s="138"/>
      <c r="R293" s="138"/>
      <c r="U293" s="138"/>
      <c r="X293" s="138"/>
    </row>
    <row r="294" spans="4:24" ht="12.75" customHeight="1" x14ac:dyDescent="0.25">
      <c r="D294" s="138"/>
      <c r="E294" s="138"/>
      <c r="L294" s="138"/>
      <c r="O294" s="138"/>
      <c r="R294" s="138"/>
      <c r="U294" s="138"/>
      <c r="X294" s="138"/>
    </row>
    <row r="295" spans="4:24" ht="12.75" customHeight="1" x14ac:dyDescent="0.25">
      <c r="D295" s="138"/>
      <c r="E295" s="138"/>
      <c r="L295" s="138"/>
      <c r="O295" s="138"/>
      <c r="R295" s="138"/>
      <c r="U295" s="138"/>
      <c r="X295" s="138"/>
    </row>
    <row r="296" spans="4:24" ht="12.75" customHeight="1" x14ac:dyDescent="0.25">
      <c r="D296" s="138"/>
      <c r="E296" s="138"/>
      <c r="L296" s="138"/>
      <c r="O296" s="138"/>
      <c r="R296" s="138"/>
      <c r="U296" s="138"/>
      <c r="X296" s="138"/>
    </row>
    <row r="297" spans="4:24" ht="12.75" customHeight="1" x14ac:dyDescent="0.25">
      <c r="D297" s="138"/>
      <c r="E297" s="138"/>
      <c r="L297" s="138"/>
      <c r="O297" s="138"/>
      <c r="R297" s="138"/>
      <c r="U297" s="138"/>
      <c r="X297" s="138"/>
    </row>
    <row r="298" spans="4:24" ht="12.75" customHeight="1" x14ac:dyDescent="0.25">
      <c r="D298" s="138"/>
      <c r="E298" s="138"/>
      <c r="L298" s="138"/>
      <c r="O298" s="138"/>
      <c r="R298" s="138"/>
      <c r="U298" s="138"/>
      <c r="X298" s="138"/>
    </row>
    <row r="299" spans="4:24" ht="12.75" customHeight="1" x14ac:dyDescent="0.25">
      <c r="D299" s="138"/>
      <c r="E299" s="138"/>
      <c r="L299" s="138"/>
      <c r="O299" s="138"/>
      <c r="R299" s="138"/>
      <c r="U299" s="138"/>
      <c r="X299" s="138"/>
    </row>
    <row r="300" spans="4:24" ht="12.75" customHeight="1" x14ac:dyDescent="0.25">
      <c r="D300" s="138"/>
      <c r="E300" s="138"/>
      <c r="L300" s="138"/>
      <c r="O300" s="138"/>
      <c r="R300" s="138"/>
      <c r="U300" s="138"/>
      <c r="X300" s="138"/>
    </row>
    <row r="301" spans="4:24" ht="12.75" customHeight="1" x14ac:dyDescent="0.25">
      <c r="D301" s="138"/>
      <c r="E301" s="138"/>
      <c r="L301" s="138"/>
      <c r="O301" s="138"/>
      <c r="R301" s="138"/>
      <c r="U301" s="138"/>
      <c r="X301" s="138"/>
    </row>
    <row r="302" spans="4:24" ht="12.75" customHeight="1" x14ac:dyDescent="0.25">
      <c r="D302" s="138"/>
      <c r="E302" s="138"/>
      <c r="L302" s="138"/>
      <c r="O302" s="138"/>
      <c r="R302" s="138"/>
      <c r="U302" s="138"/>
      <c r="X302" s="138"/>
    </row>
    <row r="303" spans="4:24" ht="12.75" customHeight="1" x14ac:dyDescent="0.25">
      <c r="D303" s="138"/>
      <c r="E303" s="138"/>
      <c r="L303" s="138"/>
      <c r="O303" s="138"/>
      <c r="R303" s="138"/>
      <c r="U303" s="138"/>
      <c r="X303" s="138"/>
    </row>
    <row r="304" spans="4:24" ht="12.75" customHeight="1" x14ac:dyDescent="0.25">
      <c r="D304" s="138"/>
      <c r="E304" s="138"/>
      <c r="L304" s="138"/>
      <c r="O304" s="138"/>
      <c r="R304" s="138"/>
      <c r="U304" s="138"/>
      <c r="X304" s="138"/>
    </row>
    <row r="305" spans="4:24" ht="12.75" customHeight="1" x14ac:dyDescent="0.25">
      <c r="D305" s="138"/>
      <c r="E305" s="138"/>
      <c r="L305" s="138"/>
      <c r="O305" s="138"/>
      <c r="R305" s="138"/>
      <c r="U305" s="138"/>
      <c r="X305" s="138"/>
    </row>
    <row r="306" spans="4:24" ht="12.75" customHeight="1" x14ac:dyDescent="0.25">
      <c r="D306" s="138"/>
      <c r="E306" s="138"/>
      <c r="L306" s="138"/>
      <c r="O306" s="138"/>
      <c r="R306" s="138"/>
      <c r="U306" s="138"/>
      <c r="X306" s="138"/>
    </row>
    <row r="307" spans="4:24" ht="12.75" customHeight="1" x14ac:dyDescent="0.25">
      <c r="D307" s="138"/>
      <c r="E307" s="138"/>
      <c r="L307" s="138"/>
      <c r="O307" s="138"/>
      <c r="R307" s="138"/>
      <c r="U307" s="138"/>
      <c r="X307" s="138"/>
    </row>
    <row r="308" spans="4:24" ht="12.75" customHeight="1" x14ac:dyDescent="0.25">
      <c r="D308" s="138"/>
      <c r="E308" s="138"/>
      <c r="L308" s="138"/>
      <c r="O308" s="138"/>
      <c r="R308" s="138"/>
      <c r="U308" s="138"/>
      <c r="X308" s="138"/>
    </row>
    <row r="309" spans="4:24" ht="12.75" customHeight="1" x14ac:dyDescent="0.25">
      <c r="D309" s="138"/>
      <c r="E309" s="138"/>
      <c r="L309" s="138"/>
      <c r="O309" s="138"/>
      <c r="R309" s="138"/>
      <c r="U309" s="138"/>
      <c r="X309" s="138"/>
    </row>
    <row r="310" spans="4:24" ht="12.75" customHeight="1" x14ac:dyDescent="0.25">
      <c r="D310" s="138"/>
      <c r="E310" s="138"/>
      <c r="L310" s="138"/>
      <c r="O310" s="138"/>
      <c r="R310" s="138"/>
      <c r="U310" s="138"/>
      <c r="X310" s="138"/>
    </row>
    <row r="311" spans="4:24" ht="12.75" customHeight="1" x14ac:dyDescent="0.25">
      <c r="D311" s="138"/>
      <c r="E311" s="138"/>
      <c r="L311" s="138"/>
      <c r="O311" s="138"/>
      <c r="R311" s="138"/>
      <c r="U311" s="138"/>
      <c r="X311" s="138"/>
    </row>
    <row r="312" spans="4:24" ht="12.75" customHeight="1" x14ac:dyDescent="0.25">
      <c r="D312" s="138"/>
      <c r="E312" s="138"/>
      <c r="L312" s="138"/>
      <c r="O312" s="138"/>
      <c r="R312" s="138"/>
      <c r="U312" s="138"/>
      <c r="X312" s="138"/>
    </row>
    <row r="313" spans="4:24" ht="12.75" customHeight="1" x14ac:dyDescent="0.25">
      <c r="D313" s="138"/>
      <c r="E313" s="138"/>
      <c r="L313" s="138"/>
      <c r="O313" s="138"/>
      <c r="R313" s="138"/>
      <c r="U313" s="138"/>
      <c r="X313" s="138"/>
    </row>
    <row r="314" spans="4:24" ht="12.75" customHeight="1" x14ac:dyDescent="0.25">
      <c r="D314" s="138"/>
      <c r="E314" s="138"/>
      <c r="L314" s="138"/>
      <c r="O314" s="138"/>
      <c r="R314" s="138"/>
      <c r="U314" s="138"/>
      <c r="X314" s="138"/>
    </row>
    <row r="315" spans="4:24" ht="12.75" customHeight="1" x14ac:dyDescent="0.25">
      <c r="D315" s="138"/>
      <c r="E315" s="138"/>
      <c r="L315" s="138"/>
      <c r="O315" s="138"/>
      <c r="R315" s="138"/>
      <c r="U315" s="138"/>
      <c r="X315" s="138"/>
    </row>
    <row r="316" spans="4:24" ht="12.75" customHeight="1" x14ac:dyDescent="0.25">
      <c r="D316" s="138"/>
      <c r="E316" s="138"/>
      <c r="L316" s="138"/>
      <c r="O316" s="138"/>
      <c r="R316" s="138"/>
      <c r="U316" s="138"/>
      <c r="X316" s="138"/>
    </row>
    <row r="317" spans="4:24" ht="12.75" customHeight="1" x14ac:dyDescent="0.25">
      <c r="D317" s="138"/>
      <c r="E317" s="138"/>
      <c r="L317" s="138"/>
      <c r="O317" s="138"/>
      <c r="R317" s="138"/>
      <c r="U317" s="138"/>
      <c r="X317" s="138"/>
    </row>
    <row r="318" spans="4:24" ht="12.75" customHeight="1" x14ac:dyDescent="0.25">
      <c r="D318" s="138"/>
      <c r="E318" s="138"/>
      <c r="L318" s="138"/>
      <c r="O318" s="138"/>
      <c r="R318" s="138"/>
      <c r="U318" s="138"/>
      <c r="X318" s="138"/>
    </row>
    <row r="319" spans="4:24" ht="12.75" customHeight="1" x14ac:dyDescent="0.25">
      <c r="D319" s="138"/>
      <c r="E319" s="138"/>
      <c r="L319" s="138"/>
      <c r="O319" s="138"/>
      <c r="R319" s="138"/>
      <c r="U319" s="138"/>
      <c r="X319" s="138"/>
    </row>
    <row r="320" spans="4:24" ht="12.75" customHeight="1" x14ac:dyDescent="0.25">
      <c r="D320" s="138"/>
      <c r="E320" s="138"/>
      <c r="L320" s="138"/>
      <c r="O320" s="138"/>
      <c r="R320" s="138"/>
      <c r="U320" s="138"/>
      <c r="X320" s="138"/>
    </row>
    <row r="321" spans="4:24" ht="12.75" customHeight="1" x14ac:dyDescent="0.25">
      <c r="D321" s="138"/>
      <c r="E321" s="138"/>
      <c r="L321" s="138"/>
      <c r="O321" s="138"/>
      <c r="R321" s="138"/>
      <c r="U321" s="138"/>
      <c r="X321" s="138"/>
    </row>
    <row r="322" spans="4:24" ht="12.75" customHeight="1" x14ac:dyDescent="0.25">
      <c r="D322" s="138"/>
      <c r="E322" s="138"/>
      <c r="L322" s="138"/>
      <c r="O322" s="138"/>
      <c r="R322" s="138"/>
      <c r="U322" s="138"/>
      <c r="X322" s="138"/>
    </row>
    <row r="323" spans="4:24" ht="12.75" customHeight="1" x14ac:dyDescent="0.25">
      <c r="D323" s="138"/>
      <c r="E323" s="138"/>
      <c r="L323" s="138"/>
      <c r="O323" s="138"/>
      <c r="R323" s="138"/>
      <c r="U323" s="138"/>
      <c r="X323" s="138"/>
    </row>
    <row r="324" spans="4:24" ht="12.75" customHeight="1" x14ac:dyDescent="0.25">
      <c r="D324" s="138"/>
      <c r="E324" s="138"/>
      <c r="L324" s="138"/>
      <c r="O324" s="138"/>
      <c r="R324" s="138"/>
      <c r="U324" s="138"/>
      <c r="X324" s="138"/>
    </row>
    <row r="325" spans="4:24" ht="12.75" customHeight="1" x14ac:dyDescent="0.25">
      <c r="D325" s="138"/>
      <c r="E325" s="138"/>
      <c r="L325" s="138"/>
      <c r="O325" s="138"/>
      <c r="R325" s="138"/>
      <c r="U325" s="138"/>
      <c r="X325" s="138"/>
    </row>
    <row r="326" spans="4:24" ht="12.75" customHeight="1" x14ac:dyDescent="0.25">
      <c r="D326" s="138"/>
      <c r="E326" s="138"/>
      <c r="L326" s="138"/>
      <c r="O326" s="138"/>
      <c r="R326" s="138"/>
      <c r="U326" s="138"/>
      <c r="X326" s="138"/>
    </row>
    <row r="327" spans="4:24" ht="12.75" customHeight="1" x14ac:dyDescent="0.25">
      <c r="D327" s="138"/>
      <c r="E327" s="138"/>
      <c r="L327" s="138"/>
      <c r="O327" s="138"/>
      <c r="R327" s="138"/>
      <c r="U327" s="138"/>
      <c r="X327" s="138"/>
    </row>
    <row r="328" spans="4:24" ht="12.75" customHeight="1" x14ac:dyDescent="0.25">
      <c r="D328" s="138"/>
      <c r="E328" s="138"/>
      <c r="L328" s="138"/>
      <c r="O328" s="138"/>
      <c r="R328" s="138"/>
      <c r="U328" s="138"/>
      <c r="X328" s="138"/>
    </row>
    <row r="329" spans="4:24" ht="12.75" customHeight="1" x14ac:dyDescent="0.25">
      <c r="D329" s="138"/>
      <c r="E329" s="138"/>
      <c r="L329" s="138"/>
      <c r="O329" s="138"/>
      <c r="R329" s="138"/>
      <c r="U329" s="138"/>
      <c r="X329" s="138"/>
    </row>
    <row r="330" spans="4:24" ht="12.75" customHeight="1" x14ac:dyDescent="0.25">
      <c r="D330" s="138"/>
      <c r="E330" s="138"/>
      <c r="L330" s="138"/>
      <c r="O330" s="138"/>
      <c r="R330" s="138"/>
      <c r="U330" s="138"/>
      <c r="X330" s="138"/>
    </row>
    <row r="331" spans="4:24" ht="12.75" customHeight="1" x14ac:dyDescent="0.25">
      <c r="D331" s="138"/>
      <c r="E331" s="138"/>
      <c r="L331" s="138"/>
      <c r="O331" s="138"/>
      <c r="R331" s="138"/>
      <c r="U331" s="138"/>
      <c r="X331" s="138"/>
    </row>
    <row r="332" spans="4:24" ht="12.75" customHeight="1" x14ac:dyDescent="0.25">
      <c r="D332" s="138"/>
      <c r="E332" s="138"/>
      <c r="L332" s="138"/>
      <c r="O332" s="138"/>
      <c r="R332" s="138"/>
      <c r="U332" s="138"/>
      <c r="X332" s="138"/>
    </row>
    <row r="333" spans="4:24" ht="12.75" customHeight="1" x14ac:dyDescent="0.25">
      <c r="D333" s="138"/>
      <c r="E333" s="138"/>
      <c r="L333" s="138"/>
      <c r="O333" s="138"/>
      <c r="R333" s="138"/>
      <c r="U333" s="138"/>
      <c r="X333" s="138"/>
    </row>
    <row r="334" spans="4:24" ht="12.75" customHeight="1" x14ac:dyDescent="0.25">
      <c r="D334" s="138"/>
      <c r="E334" s="138"/>
      <c r="L334" s="138"/>
      <c r="O334" s="138"/>
      <c r="R334" s="138"/>
      <c r="U334" s="138"/>
      <c r="X334" s="138"/>
    </row>
    <row r="335" spans="4:24" ht="12.75" customHeight="1" x14ac:dyDescent="0.25">
      <c r="D335" s="138"/>
      <c r="E335" s="138"/>
      <c r="L335" s="138"/>
      <c r="O335" s="138"/>
      <c r="R335" s="138"/>
      <c r="U335" s="138"/>
      <c r="X335" s="138"/>
    </row>
    <row r="336" spans="4:24" ht="12.75" customHeight="1" x14ac:dyDescent="0.25">
      <c r="D336" s="138"/>
      <c r="E336" s="138"/>
      <c r="L336" s="138"/>
      <c r="O336" s="138"/>
      <c r="R336" s="138"/>
      <c r="U336" s="138"/>
      <c r="X336" s="138"/>
    </row>
    <row r="337" spans="4:24" ht="12.75" customHeight="1" x14ac:dyDescent="0.25">
      <c r="D337" s="138"/>
      <c r="E337" s="138"/>
      <c r="L337" s="138"/>
      <c r="O337" s="138"/>
      <c r="R337" s="138"/>
      <c r="U337" s="138"/>
      <c r="X337" s="138"/>
    </row>
    <row r="338" spans="4:24" ht="12.75" customHeight="1" x14ac:dyDescent="0.25">
      <c r="D338" s="138"/>
      <c r="E338" s="138"/>
      <c r="L338" s="138"/>
      <c r="O338" s="138"/>
      <c r="R338" s="138"/>
      <c r="U338" s="138"/>
      <c r="X338" s="138"/>
    </row>
    <row r="339" spans="4:24" ht="12.75" customHeight="1" x14ac:dyDescent="0.25">
      <c r="D339" s="138"/>
      <c r="E339" s="138"/>
      <c r="L339" s="138"/>
      <c r="O339" s="138"/>
      <c r="R339" s="138"/>
      <c r="U339" s="138"/>
      <c r="X339" s="138"/>
    </row>
    <row r="340" spans="4:24" ht="12.75" customHeight="1" x14ac:dyDescent="0.25">
      <c r="D340" s="138"/>
      <c r="E340" s="138"/>
      <c r="L340" s="138"/>
      <c r="O340" s="138"/>
      <c r="R340" s="138"/>
      <c r="U340" s="138"/>
      <c r="X340" s="138"/>
    </row>
    <row r="341" spans="4:24" ht="12.75" customHeight="1" x14ac:dyDescent="0.25">
      <c r="D341" s="138"/>
      <c r="E341" s="138"/>
      <c r="L341" s="138"/>
      <c r="O341" s="138"/>
      <c r="R341" s="138"/>
      <c r="U341" s="138"/>
      <c r="X341" s="138"/>
    </row>
    <row r="342" spans="4:24" ht="12.75" customHeight="1" x14ac:dyDescent="0.25">
      <c r="D342" s="138"/>
      <c r="E342" s="138"/>
      <c r="L342" s="138"/>
      <c r="O342" s="138"/>
      <c r="R342" s="138"/>
      <c r="U342" s="138"/>
      <c r="X342" s="138"/>
    </row>
    <row r="343" spans="4:24" ht="12.75" customHeight="1" x14ac:dyDescent="0.25">
      <c r="D343" s="138"/>
      <c r="E343" s="138"/>
      <c r="L343" s="138"/>
      <c r="O343" s="138"/>
      <c r="R343" s="138"/>
      <c r="U343" s="138"/>
      <c r="X343" s="138"/>
    </row>
    <row r="344" spans="4:24" ht="12.75" customHeight="1" x14ac:dyDescent="0.25">
      <c r="D344" s="138"/>
      <c r="E344" s="138"/>
      <c r="L344" s="138"/>
      <c r="O344" s="138"/>
      <c r="R344" s="138"/>
      <c r="U344" s="138"/>
      <c r="X344" s="138"/>
    </row>
    <row r="345" spans="4:24" ht="12.75" customHeight="1" x14ac:dyDescent="0.25">
      <c r="D345" s="138"/>
      <c r="E345" s="138"/>
      <c r="L345" s="138"/>
      <c r="O345" s="138"/>
      <c r="R345" s="138"/>
      <c r="U345" s="138"/>
      <c r="X345" s="138"/>
    </row>
    <row r="346" spans="4:24" ht="12.75" customHeight="1" x14ac:dyDescent="0.25">
      <c r="D346" s="138"/>
      <c r="E346" s="138"/>
      <c r="L346" s="138"/>
      <c r="O346" s="138"/>
      <c r="R346" s="138"/>
      <c r="U346" s="138"/>
      <c r="X346" s="138"/>
    </row>
    <row r="347" spans="4:24" ht="12.75" customHeight="1" x14ac:dyDescent="0.25">
      <c r="D347" s="138"/>
      <c r="E347" s="138"/>
      <c r="L347" s="138"/>
      <c r="O347" s="138"/>
      <c r="R347" s="138"/>
      <c r="U347" s="138"/>
      <c r="X347" s="138"/>
    </row>
    <row r="348" spans="4:24" ht="12.75" customHeight="1" x14ac:dyDescent="0.25">
      <c r="D348" s="138"/>
      <c r="E348" s="138"/>
      <c r="L348" s="138"/>
      <c r="O348" s="138"/>
      <c r="R348" s="138"/>
      <c r="U348" s="138"/>
      <c r="X348" s="138"/>
    </row>
    <row r="349" spans="4:24" ht="12.75" customHeight="1" x14ac:dyDescent="0.25">
      <c r="D349" s="138"/>
      <c r="E349" s="138"/>
      <c r="L349" s="138"/>
      <c r="O349" s="138"/>
      <c r="R349" s="138"/>
      <c r="U349" s="138"/>
      <c r="X349" s="138"/>
    </row>
    <row r="350" spans="4:24" ht="12.75" customHeight="1" x14ac:dyDescent="0.25">
      <c r="D350" s="138"/>
      <c r="E350" s="138"/>
      <c r="L350" s="138"/>
      <c r="O350" s="138"/>
      <c r="R350" s="138"/>
      <c r="U350" s="138"/>
      <c r="X350" s="138"/>
    </row>
    <row r="351" spans="4:24" ht="12.75" customHeight="1" x14ac:dyDescent="0.25">
      <c r="D351" s="138"/>
      <c r="E351" s="138"/>
      <c r="L351" s="138"/>
      <c r="O351" s="138"/>
      <c r="R351" s="138"/>
      <c r="U351" s="138"/>
      <c r="X351" s="138"/>
    </row>
    <row r="352" spans="4:24" ht="12.75" customHeight="1" x14ac:dyDescent="0.25">
      <c r="D352" s="138"/>
      <c r="E352" s="138"/>
      <c r="L352" s="138"/>
      <c r="O352" s="138"/>
      <c r="R352" s="138"/>
      <c r="U352" s="138"/>
      <c r="X352" s="138"/>
    </row>
    <row r="353" spans="4:24" ht="12.75" customHeight="1" x14ac:dyDescent="0.25">
      <c r="D353" s="138"/>
      <c r="E353" s="138"/>
      <c r="L353" s="138"/>
      <c r="O353" s="138"/>
      <c r="R353" s="138"/>
      <c r="U353" s="138"/>
      <c r="X353" s="138"/>
    </row>
    <row r="354" spans="4:24" ht="12.75" customHeight="1" x14ac:dyDescent="0.25">
      <c r="D354" s="138"/>
      <c r="E354" s="138"/>
      <c r="L354" s="138"/>
      <c r="O354" s="138"/>
      <c r="R354" s="138"/>
      <c r="U354" s="138"/>
      <c r="X354" s="138"/>
    </row>
    <row r="355" spans="4:24" ht="12.75" customHeight="1" x14ac:dyDescent="0.25">
      <c r="D355" s="138"/>
      <c r="E355" s="138"/>
      <c r="L355" s="138"/>
      <c r="O355" s="138"/>
      <c r="R355" s="138"/>
      <c r="U355" s="138"/>
      <c r="X355" s="138"/>
    </row>
    <row r="356" spans="4:24" ht="12.75" customHeight="1" x14ac:dyDescent="0.25">
      <c r="D356" s="138"/>
      <c r="E356" s="138"/>
      <c r="L356" s="138"/>
      <c r="O356" s="138"/>
      <c r="R356" s="138"/>
      <c r="U356" s="138"/>
      <c r="X356" s="138"/>
    </row>
    <row r="357" spans="4:24" ht="12.75" customHeight="1" x14ac:dyDescent="0.25">
      <c r="D357" s="138"/>
      <c r="E357" s="138"/>
      <c r="L357" s="138"/>
      <c r="O357" s="138"/>
      <c r="R357" s="138"/>
      <c r="U357" s="138"/>
      <c r="X357" s="138"/>
    </row>
    <row r="358" spans="4:24" ht="12.75" customHeight="1" x14ac:dyDescent="0.25">
      <c r="D358" s="138"/>
      <c r="E358" s="138"/>
      <c r="L358" s="138"/>
      <c r="O358" s="138"/>
      <c r="R358" s="138"/>
      <c r="U358" s="138"/>
      <c r="X358" s="138"/>
    </row>
    <row r="359" spans="4:24" ht="12.75" customHeight="1" x14ac:dyDescent="0.25">
      <c r="D359" s="138"/>
      <c r="E359" s="138"/>
      <c r="L359" s="138"/>
      <c r="O359" s="138"/>
      <c r="R359" s="138"/>
      <c r="U359" s="138"/>
      <c r="X359" s="138"/>
    </row>
    <row r="360" spans="4:24" ht="12.75" customHeight="1" x14ac:dyDescent="0.25">
      <c r="D360" s="138"/>
      <c r="E360" s="138"/>
      <c r="L360" s="138"/>
      <c r="O360" s="138"/>
      <c r="R360" s="138"/>
      <c r="U360" s="138"/>
      <c r="X360" s="138"/>
    </row>
    <row r="361" spans="4:24" ht="12.75" customHeight="1" x14ac:dyDescent="0.25">
      <c r="D361" s="138"/>
      <c r="E361" s="138"/>
      <c r="L361" s="138"/>
      <c r="O361" s="138"/>
      <c r="R361" s="138"/>
      <c r="U361" s="138"/>
      <c r="X361" s="138"/>
    </row>
    <row r="362" spans="4:24" ht="12.75" customHeight="1" x14ac:dyDescent="0.25">
      <c r="D362" s="138"/>
      <c r="E362" s="138"/>
      <c r="L362" s="138"/>
      <c r="O362" s="138"/>
      <c r="R362" s="138"/>
      <c r="U362" s="138"/>
      <c r="X362" s="138"/>
    </row>
    <row r="363" spans="4:24" ht="12.75" customHeight="1" x14ac:dyDescent="0.25">
      <c r="D363" s="138"/>
      <c r="E363" s="138"/>
      <c r="L363" s="138"/>
      <c r="O363" s="138"/>
      <c r="R363" s="138"/>
      <c r="U363" s="138"/>
      <c r="X363" s="138"/>
    </row>
    <row r="364" spans="4:24" ht="12.75" customHeight="1" x14ac:dyDescent="0.25">
      <c r="D364" s="138"/>
      <c r="E364" s="138"/>
      <c r="L364" s="138"/>
      <c r="O364" s="138"/>
      <c r="R364" s="138"/>
      <c r="U364" s="138"/>
      <c r="X364" s="138"/>
    </row>
    <row r="365" spans="4:24" ht="12.75" customHeight="1" x14ac:dyDescent="0.25">
      <c r="D365" s="138"/>
      <c r="E365" s="138"/>
      <c r="L365" s="138"/>
      <c r="O365" s="138"/>
      <c r="R365" s="138"/>
      <c r="U365" s="138"/>
      <c r="X365" s="138"/>
    </row>
    <row r="366" spans="4:24" ht="12.75" customHeight="1" x14ac:dyDescent="0.25">
      <c r="D366" s="138"/>
      <c r="E366" s="138"/>
      <c r="L366" s="138"/>
      <c r="O366" s="138"/>
      <c r="R366" s="138"/>
      <c r="U366" s="138"/>
      <c r="X366" s="138"/>
    </row>
    <row r="367" spans="4:24" ht="12.75" customHeight="1" x14ac:dyDescent="0.25">
      <c r="D367" s="138"/>
      <c r="E367" s="138"/>
      <c r="L367" s="138"/>
      <c r="O367" s="138"/>
      <c r="R367" s="138"/>
      <c r="U367" s="138"/>
      <c r="X367" s="138"/>
    </row>
    <row r="368" spans="4:24" ht="12.75" customHeight="1" x14ac:dyDescent="0.25">
      <c r="D368" s="138"/>
      <c r="E368" s="138"/>
      <c r="L368" s="138"/>
      <c r="O368" s="138"/>
      <c r="R368" s="138"/>
      <c r="U368" s="138"/>
      <c r="X368" s="138"/>
    </row>
    <row r="369" spans="4:24" ht="12.75" customHeight="1" x14ac:dyDescent="0.25">
      <c r="D369" s="138"/>
      <c r="E369" s="138"/>
      <c r="L369" s="138"/>
      <c r="O369" s="138"/>
      <c r="R369" s="138"/>
      <c r="U369" s="138"/>
      <c r="X369" s="138"/>
    </row>
    <row r="370" spans="4:24" ht="12.75" customHeight="1" x14ac:dyDescent="0.25">
      <c r="D370" s="138"/>
      <c r="E370" s="138"/>
      <c r="L370" s="138"/>
      <c r="O370" s="138"/>
      <c r="R370" s="138"/>
      <c r="U370" s="138"/>
      <c r="X370" s="138"/>
    </row>
    <row r="371" spans="4:24" ht="12.75" customHeight="1" x14ac:dyDescent="0.25">
      <c r="D371" s="138"/>
      <c r="E371" s="138"/>
      <c r="L371" s="138"/>
      <c r="O371" s="138"/>
      <c r="R371" s="138"/>
      <c r="U371" s="138"/>
      <c r="X371" s="138"/>
    </row>
    <row r="372" spans="4:24" ht="12.75" customHeight="1" x14ac:dyDescent="0.25">
      <c r="D372" s="138"/>
      <c r="E372" s="138"/>
      <c r="L372" s="138"/>
      <c r="O372" s="138"/>
      <c r="R372" s="138"/>
      <c r="U372" s="138"/>
      <c r="X372" s="138"/>
    </row>
    <row r="373" spans="4:24" ht="12.75" customHeight="1" x14ac:dyDescent="0.25">
      <c r="D373" s="138"/>
      <c r="E373" s="138"/>
      <c r="L373" s="138"/>
      <c r="O373" s="138"/>
      <c r="R373" s="138"/>
      <c r="U373" s="138"/>
      <c r="X373" s="138"/>
    </row>
    <row r="374" spans="4:24" ht="12.75" customHeight="1" x14ac:dyDescent="0.25">
      <c r="D374" s="138"/>
      <c r="E374" s="138"/>
      <c r="L374" s="138"/>
      <c r="O374" s="138"/>
      <c r="R374" s="138"/>
      <c r="U374" s="138"/>
      <c r="X374" s="138"/>
    </row>
    <row r="375" spans="4:24" ht="12.75" customHeight="1" x14ac:dyDescent="0.25">
      <c r="D375" s="138"/>
      <c r="E375" s="138"/>
      <c r="L375" s="138"/>
      <c r="O375" s="138"/>
      <c r="R375" s="138"/>
      <c r="U375" s="138"/>
      <c r="X375" s="138"/>
    </row>
    <row r="376" spans="4:24" ht="12.75" customHeight="1" x14ac:dyDescent="0.25">
      <c r="D376" s="138"/>
      <c r="E376" s="138"/>
      <c r="L376" s="138"/>
      <c r="O376" s="138"/>
      <c r="R376" s="138"/>
      <c r="U376" s="138"/>
      <c r="X376" s="138"/>
    </row>
    <row r="377" spans="4:24" ht="12.75" customHeight="1" x14ac:dyDescent="0.25">
      <c r="D377" s="138"/>
      <c r="E377" s="138"/>
      <c r="L377" s="138"/>
      <c r="O377" s="138"/>
      <c r="R377" s="138"/>
      <c r="U377" s="138"/>
      <c r="X377" s="138"/>
    </row>
    <row r="378" spans="4:24" ht="12.75" customHeight="1" x14ac:dyDescent="0.25">
      <c r="D378" s="138"/>
      <c r="E378" s="138"/>
      <c r="L378" s="138"/>
      <c r="O378" s="138"/>
      <c r="R378" s="138"/>
      <c r="U378" s="138"/>
      <c r="X378" s="138"/>
    </row>
    <row r="379" spans="4:24" ht="12.75" customHeight="1" x14ac:dyDescent="0.25">
      <c r="D379" s="138"/>
      <c r="E379" s="138"/>
      <c r="L379" s="138"/>
      <c r="O379" s="138"/>
      <c r="R379" s="138"/>
      <c r="U379" s="138"/>
      <c r="X379" s="138"/>
    </row>
    <row r="380" spans="4:24" ht="12.75" customHeight="1" x14ac:dyDescent="0.25">
      <c r="D380" s="138"/>
      <c r="E380" s="138"/>
      <c r="L380" s="138"/>
      <c r="O380" s="138"/>
      <c r="R380" s="138"/>
      <c r="U380" s="138"/>
      <c r="X380" s="138"/>
    </row>
    <row r="381" spans="4:24" ht="12.75" customHeight="1" x14ac:dyDescent="0.25">
      <c r="D381" s="138"/>
      <c r="E381" s="138"/>
      <c r="L381" s="138"/>
      <c r="O381" s="138"/>
      <c r="R381" s="138"/>
      <c r="U381" s="138"/>
      <c r="X381" s="138"/>
    </row>
    <row r="382" spans="4:24" ht="12.75" customHeight="1" x14ac:dyDescent="0.25">
      <c r="D382" s="138"/>
      <c r="E382" s="138"/>
      <c r="L382" s="138"/>
      <c r="O382" s="138"/>
      <c r="R382" s="138"/>
      <c r="U382" s="138"/>
      <c r="X382" s="138"/>
    </row>
    <row r="383" spans="4:24" ht="12.75" customHeight="1" x14ac:dyDescent="0.25">
      <c r="D383" s="138"/>
      <c r="E383" s="138"/>
      <c r="L383" s="138"/>
      <c r="O383" s="138"/>
      <c r="R383" s="138"/>
      <c r="U383" s="138"/>
      <c r="X383" s="138"/>
    </row>
    <row r="384" spans="4:24" ht="12.75" customHeight="1" x14ac:dyDescent="0.25">
      <c r="D384" s="138"/>
      <c r="E384" s="138"/>
      <c r="L384" s="138"/>
      <c r="O384" s="138"/>
      <c r="R384" s="138"/>
      <c r="U384" s="138"/>
      <c r="X384" s="138"/>
    </row>
    <row r="385" spans="4:24" ht="12.75" customHeight="1" x14ac:dyDescent="0.25">
      <c r="D385" s="138"/>
      <c r="E385" s="138"/>
      <c r="L385" s="138"/>
      <c r="O385" s="138"/>
      <c r="R385" s="138"/>
      <c r="U385" s="138"/>
      <c r="X385" s="138"/>
    </row>
    <row r="386" spans="4:24" ht="12.75" customHeight="1" x14ac:dyDescent="0.25">
      <c r="D386" s="138"/>
      <c r="E386" s="138"/>
      <c r="L386" s="138"/>
      <c r="O386" s="138"/>
      <c r="R386" s="138"/>
      <c r="U386" s="138"/>
      <c r="X386" s="138"/>
    </row>
    <row r="387" spans="4:24" ht="12.75" customHeight="1" x14ac:dyDescent="0.25">
      <c r="D387" s="138"/>
      <c r="E387" s="138"/>
      <c r="L387" s="138"/>
      <c r="O387" s="138"/>
      <c r="R387" s="138"/>
      <c r="U387" s="138"/>
      <c r="X387" s="138"/>
    </row>
    <row r="388" spans="4:24" ht="12.75" customHeight="1" x14ac:dyDescent="0.25">
      <c r="D388" s="138"/>
      <c r="E388" s="138"/>
      <c r="L388" s="138"/>
      <c r="O388" s="138"/>
      <c r="R388" s="138"/>
      <c r="U388" s="138"/>
      <c r="X388" s="138"/>
    </row>
    <row r="389" spans="4:24" ht="12.75" customHeight="1" x14ac:dyDescent="0.25">
      <c r="D389" s="138"/>
      <c r="E389" s="138"/>
      <c r="L389" s="138"/>
      <c r="O389" s="138"/>
      <c r="R389" s="138"/>
      <c r="U389" s="138"/>
      <c r="X389" s="138"/>
    </row>
    <row r="390" spans="4:24" ht="12.75" customHeight="1" x14ac:dyDescent="0.25">
      <c r="D390" s="138"/>
      <c r="E390" s="138"/>
      <c r="L390" s="138"/>
      <c r="O390" s="138"/>
      <c r="R390" s="138"/>
      <c r="U390" s="138"/>
      <c r="X390" s="138"/>
    </row>
    <row r="391" spans="4:24" ht="12.75" customHeight="1" x14ac:dyDescent="0.25">
      <c r="D391" s="138"/>
      <c r="E391" s="138"/>
      <c r="L391" s="138"/>
      <c r="O391" s="138"/>
      <c r="R391" s="138"/>
      <c r="U391" s="138"/>
      <c r="X391" s="138"/>
    </row>
    <row r="392" spans="4:24" ht="12.75" customHeight="1" x14ac:dyDescent="0.25">
      <c r="D392" s="138"/>
      <c r="E392" s="138"/>
      <c r="L392" s="138"/>
      <c r="O392" s="138"/>
      <c r="R392" s="138"/>
      <c r="U392" s="138"/>
      <c r="X392" s="138"/>
    </row>
    <row r="393" spans="4:24" ht="12.75" customHeight="1" x14ac:dyDescent="0.25">
      <c r="D393" s="138"/>
      <c r="E393" s="138"/>
      <c r="L393" s="138"/>
      <c r="O393" s="138"/>
      <c r="R393" s="138"/>
      <c r="U393" s="138"/>
      <c r="X393" s="138"/>
    </row>
    <row r="394" spans="4:24" ht="12.75" customHeight="1" x14ac:dyDescent="0.25">
      <c r="D394" s="138"/>
      <c r="E394" s="138"/>
      <c r="L394" s="138"/>
      <c r="O394" s="138"/>
      <c r="R394" s="138"/>
      <c r="U394" s="138"/>
      <c r="X394" s="138"/>
    </row>
    <row r="395" spans="4:24" ht="12.75" customHeight="1" x14ac:dyDescent="0.25">
      <c r="D395" s="138"/>
      <c r="E395" s="138"/>
      <c r="L395" s="138"/>
      <c r="O395" s="138"/>
      <c r="R395" s="138"/>
      <c r="U395" s="138"/>
      <c r="X395" s="138"/>
    </row>
    <row r="396" spans="4:24" ht="12.75" customHeight="1" x14ac:dyDescent="0.25">
      <c r="D396" s="138"/>
      <c r="E396" s="138"/>
      <c r="L396" s="138"/>
      <c r="O396" s="138"/>
      <c r="R396" s="138"/>
      <c r="U396" s="138"/>
      <c r="X396" s="138"/>
    </row>
    <row r="397" spans="4:24" ht="12.75" customHeight="1" x14ac:dyDescent="0.25">
      <c r="D397" s="138"/>
      <c r="E397" s="138"/>
      <c r="L397" s="138"/>
      <c r="O397" s="138"/>
      <c r="R397" s="138"/>
      <c r="U397" s="138"/>
      <c r="X397" s="138"/>
    </row>
    <row r="398" spans="4:24" ht="12.75" customHeight="1" x14ac:dyDescent="0.25">
      <c r="D398" s="138"/>
      <c r="E398" s="138"/>
      <c r="L398" s="138"/>
      <c r="O398" s="138"/>
      <c r="R398" s="138"/>
      <c r="U398" s="138"/>
      <c r="X398" s="138"/>
    </row>
    <row r="399" spans="4:24" ht="12.75" customHeight="1" x14ac:dyDescent="0.25">
      <c r="D399" s="138"/>
      <c r="E399" s="138"/>
      <c r="L399" s="138"/>
      <c r="O399" s="138"/>
      <c r="R399" s="138"/>
      <c r="U399" s="138"/>
      <c r="X399" s="138"/>
    </row>
    <row r="400" spans="4:24" ht="12.75" customHeight="1" x14ac:dyDescent="0.25">
      <c r="D400" s="138"/>
      <c r="E400" s="138"/>
      <c r="L400" s="138"/>
      <c r="O400" s="138"/>
      <c r="R400" s="138"/>
      <c r="U400" s="138"/>
      <c r="X400" s="138"/>
    </row>
    <row r="401" spans="4:24" ht="12.75" customHeight="1" x14ac:dyDescent="0.25">
      <c r="D401" s="138"/>
      <c r="E401" s="138"/>
      <c r="L401" s="138"/>
      <c r="O401" s="138"/>
      <c r="R401" s="138"/>
      <c r="U401" s="138"/>
      <c r="X401" s="138"/>
    </row>
    <row r="402" spans="4:24" ht="12.75" customHeight="1" x14ac:dyDescent="0.25">
      <c r="D402" s="138"/>
      <c r="E402" s="138"/>
      <c r="L402" s="138"/>
      <c r="O402" s="138"/>
      <c r="R402" s="138"/>
      <c r="U402" s="138"/>
      <c r="X402" s="138"/>
    </row>
    <row r="403" spans="4:24" ht="12.75" customHeight="1" x14ac:dyDescent="0.25">
      <c r="D403" s="138"/>
      <c r="E403" s="138"/>
      <c r="L403" s="138"/>
      <c r="O403" s="138"/>
      <c r="R403" s="138"/>
      <c r="U403" s="138"/>
      <c r="X403" s="138"/>
    </row>
    <row r="404" spans="4:24" ht="12.75" customHeight="1" x14ac:dyDescent="0.25">
      <c r="D404" s="138"/>
      <c r="E404" s="138"/>
      <c r="L404" s="138"/>
      <c r="O404" s="138"/>
      <c r="R404" s="138"/>
      <c r="U404" s="138"/>
      <c r="X404" s="138"/>
    </row>
    <row r="405" spans="4:24" ht="12.75" customHeight="1" x14ac:dyDescent="0.25">
      <c r="D405" s="138"/>
      <c r="E405" s="138"/>
      <c r="L405" s="138"/>
      <c r="O405" s="138"/>
      <c r="R405" s="138"/>
      <c r="U405" s="138"/>
      <c r="X405" s="138"/>
    </row>
    <row r="406" spans="4:24" ht="12.75" customHeight="1" x14ac:dyDescent="0.25">
      <c r="D406" s="138"/>
      <c r="E406" s="138"/>
      <c r="L406" s="138"/>
      <c r="O406" s="138"/>
      <c r="R406" s="138"/>
      <c r="U406" s="138"/>
      <c r="X406" s="138"/>
    </row>
    <row r="407" spans="4:24" ht="12.75" customHeight="1" x14ac:dyDescent="0.25">
      <c r="D407" s="138"/>
      <c r="E407" s="138"/>
      <c r="L407" s="138"/>
      <c r="O407" s="138"/>
      <c r="R407" s="138"/>
      <c r="U407" s="138"/>
      <c r="X407" s="138"/>
    </row>
    <row r="408" spans="4:24" ht="12.75" customHeight="1" x14ac:dyDescent="0.25">
      <c r="D408" s="138"/>
      <c r="E408" s="138"/>
      <c r="L408" s="138"/>
      <c r="O408" s="138"/>
      <c r="R408" s="138"/>
      <c r="U408" s="138"/>
      <c r="X408" s="138"/>
    </row>
    <row r="409" spans="4:24" ht="12.75" customHeight="1" x14ac:dyDescent="0.25">
      <c r="D409" s="138"/>
      <c r="E409" s="138"/>
      <c r="L409" s="138"/>
      <c r="O409" s="138"/>
      <c r="R409" s="138"/>
      <c r="U409" s="138"/>
      <c r="X409" s="138"/>
    </row>
    <row r="410" spans="4:24" ht="12.75" customHeight="1" x14ac:dyDescent="0.25">
      <c r="D410" s="138"/>
      <c r="E410" s="138"/>
      <c r="L410" s="138"/>
      <c r="O410" s="138"/>
      <c r="R410" s="138"/>
      <c r="U410" s="138"/>
      <c r="X410" s="138"/>
    </row>
    <row r="411" spans="4:24" ht="12.75" customHeight="1" x14ac:dyDescent="0.25">
      <c r="D411" s="138"/>
      <c r="E411" s="138"/>
      <c r="L411" s="138"/>
      <c r="O411" s="138"/>
      <c r="R411" s="138"/>
      <c r="U411" s="138"/>
      <c r="X411" s="138"/>
    </row>
    <row r="412" spans="4:24" ht="12.75" customHeight="1" x14ac:dyDescent="0.25">
      <c r="D412" s="138"/>
      <c r="E412" s="138"/>
      <c r="L412" s="138"/>
      <c r="O412" s="138"/>
      <c r="R412" s="138"/>
      <c r="U412" s="138"/>
      <c r="X412" s="138"/>
    </row>
    <row r="413" spans="4:24" ht="12.75" customHeight="1" x14ac:dyDescent="0.25">
      <c r="D413" s="138"/>
      <c r="E413" s="138"/>
      <c r="L413" s="138"/>
      <c r="O413" s="138"/>
      <c r="R413" s="138"/>
      <c r="U413" s="138"/>
      <c r="X413" s="138"/>
    </row>
    <row r="414" spans="4:24" ht="12.75" customHeight="1" x14ac:dyDescent="0.25">
      <c r="D414" s="138"/>
      <c r="E414" s="138"/>
      <c r="L414" s="138"/>
      <c r="O414" s="138"/>
      <c r="R414" s="138"/>
      <c r="U414" s="138"/>
      <c r="X414" s="138"/>
    </row>
    <row r="415" spans="4:24" ht="12.75" customHeight="1" x14ac:dyDescent="0.25">
      <c r="D415" s="138"/>
      <c r="E415" s="138"/>
      <c r="L415" s="138"/>
      <c r="O415" s="138"/>
      <c r="R415" s="138"/>
      <c r="U415" s="138"/>
      <c r="X415" s="138"/>
    </row>
    <row r="416" spans="4:24" ht="12.75" customHeight="1" x14ac:dyDescent="0.25">
      <c r="D416" s="138"/>
      <c r="E416" s="138"/>
      <c r="L416" s="138"/>
      <c r="O416" s="138"/>
      <c r="R416" s="138"/>
      <c r="U416" s="138"/>
      <c r="X416" s="138"/>
    </row>
    <row r="417" spans="4:24" ht="12.75" customHeight="1" x14ac:dyDescent="0.25">
      <c r="D417" s="138"/>
      <c r="E417" s="138"/>
      <c r="L417" s="138"/>
      <c r="O417" s="138"/>
      <c r="R417" s="138"/>
      <c r="U417" s="138"/>
      <c r="X417" s="138"/>
    </row>
    <row r="418" spans="4:24" ht="12.75" customHeight="1" x14ac:dyDescent="0.25">
      <c r="D418" s="138"/>
      <c r="E418" s="138"/>
      <c r="L418" s="138"/>
      <c r="O418" s="138"/>
      <c r="R418" s="138"/>
      <c r="U418" s="138"/>
      <c r="X418" s="138"/>
    </row>
    <row r="419" spans="4:24" ht="12.75" customHeight="1" x14ac:dyDescent="0.25">
      <c r="D419" s="138"/>
      <c r="E419" s="138"/>
      <c r="L419" s="138"/>
      <c r="O419" s="138"/>
      <c r="R419" s="138"/>
      <c r="U419" s="138"/>
      <c r="X419" s="138"/>
    </row>
    <row r="420" spans="4:24" ht="12.75" customHeight="1" x14ac:dyDescent="0.25">
      <c r="D420" s="138"/>
      <c r="E420" s="138"/>
      <c r="L420" s="138"/>
      <c r="O420" s="138"/>
      <c r="R420" s="138"/>
      <c r="U420" s="138"/>
      <c r="X420" s="138"/>
    </row>
    <row r="421" spans="4:24" ht="12.75" customHeight="1" x14ac:dyDescent="0.25">
      <c r="D421" s="138"/>
      <c r="E421" s="138"/>
      <c r="L421" s="138"/>
      <c r="O421" s="138"/>
      <c r="R421" s="138"/>
      <c r="U421" s="138"/>
      <c r="X421" s="138"/>
    </row>
    <row r="422" spans="4:24" ht="12.75" customHeight="1" x14ac:dyDescent="0.25">
      <c r="D422" s="138"/>
      <c r="E422" s="138"/>
      <c r="L422" s="138"/>
      <c r="O422" s="138"/>
      <c r="R422" s="138"/>
      <c r="U422" s="138"/>
      <c r="X422" s="138"/>
    </row>
    <row r="423" spans="4:24" ht="12.75" customHeight="1" x14ac:dyDescent="0.25">
      <c r="D423" s="138"/>
      <c r="E423" s="138"/>
      <c r="L423" s="138"/>
      <c r="O423" s="138"/>
      <c r="R423" s="138"/>
      <c r="U423" s="138"/>
      <c r="X423" s="138"/>
    </row>
    <row r="424" spans="4:24" ht="12.75" customHeight="1" x14ac:dyDescent="0.25">
      <c r="D424" s="138"/>
      <c r="E424" s="138"/>
      <c r="L424" s="138"/>
      <c r="O424" s="138"/>
      <c r="R424" s="138"/>
      <c r="U424" s="138"/>
      <c r="X424" s="138"/>
    </row>
    <row r="425" spans="4:24" ht="12.75" customHeight="1" x14ac:dyDescent="0.25">
      <c r="D425" s="138"/>
      <c r="E425" s="138"/>
      <c r="L425" s="138"/>
      <c r="O425" s="138"/>
      <c r="R425" s="138"/>
      <c r="U425" s="138"/>
      <c r="X425" s="138"/>
    </row>
    <row r="426" spans="4:24" ht="12.75" customHeight="1" x14ac:dyDescent="0.25">
      <c r="D426" s="138"/>
      <c r="E426" s="138"/>
      <c r="L426" s="138"/>
      <c r="O426" s="138"/>
      <c r="R426" s="138"/>
      <c r="U426" s="138"/>
      <c r="X426" s="138"/>
    </row>
    <row r="427" spans="4:24" ht="12.75" customHeight="1" x14ac:dyDescent="0.25">
      <c r="D427" s="138"/>
      <c r="E427" s="138"/>
      <c r="L427" s="138"/>
      <c r="O427" s="138"/>
      <c r="R427" s="138"/>
      <c r="U427" s="138"/>
      <c r="X427" s="138"/>
    </row>
    <row r="428" spans="4:24" ht="12.75" customHeight="1" x14ac:dyDescent="0.25">
      <c r="D428" s="138"/>
      <c r="E428" s="138"/>
      <c r="L428" s="138"/>
      <c r="O428" s="138"/>
      <c r="R428" s="138"/>
      <c r="U428" s="138"/>
      <c r="X428" s="138"/>
    </row>
    <row r="429" spans="4:24" ht="12.75" customHeight="1" x14ac:dyDescent="0.25">
      <c r="D429" s="138"/>
      <c r="E429" s="138"/>
      <c r="L429" s="138"/>
      <c r="O429" s="138"/>
      <c r="R429" s="138"/>
      <c r="U429" s="138"/>
      <c r="X429" s="138"/>
    </row>
    <row r="430" spans="4:24" ht="12.75" customHeight="1" x14ac:dyDescent="0.25">
      <c r="D430" s="138"/>
      <c r="E430" s="138"/>
      <c r="L430" s="138"/>
      <c r="O430" s="138"/>
      <c r="R430" s="138"/>
      <c r="U430" s="138"/>
      <c r="X430" s="138"/>
    </row>
    <row r="431" spans="4:24" ht="12.75" customHeight="1" x14ac:dyDescent="0.25">
      <c r="D431" s="138"/>
      <c r="E431" s="138"/>
      <c r="L431" s="138"/>
      <c r="O431" s="138"/>
      <c r="R431" s="138"/>
      <c r="U431" s="138"/>
      <c r="X431" s="138"/>
    </row>
    <row r="432" spans="4:24" ht="12.75" customHeight="1" x14ac:dyDescent="0.25">
      <c r="D432" s="138"/>
      <c r="E432" s="138"/>
      <c r="L432" s="138"/>
      <c r="O432" s="138"/>
      <c r="R432" s="138"/>
      <c r="U432" s="138"/>
      <c r="X432" s="138"/>
    </row>
    <row r="433" spans="4:24" ht="12.75" customHeight="1" x14ac:dyDescent="0.25">
      <c r="D433" s="138"/>
      <c r="E433" s="138"/>
      <c r="L433" s="138"/>
      <c r="O433" s="138"/>
      <c r="R433" s="138"/>
      <c r="U433" s="138"/>
      <c r="X433" s="138"/>
    </row>
    <row r="434" spans="4:24" ht="12.75" customHeight="1" x14ac:dyDescent="0.25">
      <c r="D434" s="138"/>
      <c r="E434" s="138"/>
      <c r="L434" s="138"/>
      <c r="O434" s="138"/>
      <c r="R434" s="138"/>
      <c r="U434" s="138"/>
      <c r="X434" s="138"/>
    </row>
    <row r="435" spans="4:24" ht="12.75" customHeight="1" x14ac:dyDescent="0.25">
      <c r="D435" s="138"/>
      <c r="E435" s="138"/>
      <c r="L435" s="138"/>
      <c r="O435" s="138"/>
      <c r="R435" s="138"/>
      <c r="U435" s="138"/>
      <c r="X435" s="138"/>
    </row>
    <row r="436" spans="4:24" ht="12.75" customHeight="1" x14ac:dyDescent="0.25">
      <c r="D436" s="138"/>
      <c r="E436" s="138"/>
      <c r="L436" s="138"/>
      <c r="O436" s="138"/>
      <c r="R436" s="138"/>
      <c r="U436" s="138"/>
      <c r="X436" s="138"/>
    </row>
    <row r="437" spans="4:24" ht="12.75" customHeight="1" x14ac:dyDescent="0.25">
      <c r="D437" s="138"/>
      <c r="E437" s="138"/>
      <c r="L437" s="138"/>
      <c r="O437" s="138"/>
      <c r="R437" s="138"/>
      <c r="U437" s="138"/>
      <c r="X437" s="138"/>
    </row>
    <row r="438" spans="4:24" ht="12.75" customHeight="1" x14ac:dyDescent="0.25">
      <c r="D438" s="138"/>
      <c r="E438" s="138"/>
      <c r="L438" s="138"/>
      <c r="O438" s="138"/>
      <c r="R438" s="138"/>
      <c r="U438" s="138"/>
      <c r="X438" s="138"/>
    </row>
    <row r="439" spans="4:24" ht="12.75" customHeight="1" x14ac:dyDescent="0.25">
      <c r="D439" s="138"/>
      <c r="E439" s="138"/>
      <c r="L439" s="138"/>
      <c r="O439" s="138"/>
      <c r="R439" s="138"/>
      <c r="U439" s="138"/>
      <c r="X439" s="138"/>
    </row>
    <row r="440" spans="4:24" ht="12.75" customHeight="1" x14ac:dyDescent="0.25">
      <c r="D440" s="138"/>
      <c r="E440" s="138"/>
      <c r="L440" s="138"/>
      <c r="O440" s="138"/>
      <c r="R440" s="138"/>
      <c r="U440" s="138"/>
      <c r="X440" s="138"/>
    </row>
    <row r="441" spans="4:24" ht="12.75" customHeight="1" x14ac:dyDescent="0.25">
      <c r="D441" s="138"/>
      <c r="E441" s="138"/>
      <c r="L441" s="138"/>
      <c r="O441" s="138"/>
      <c r="R441" s="138"/>
      <c r="U441" s="138"/>
      <c r="X441" s="138"/>
    </row>
    <row r="442" spans="4:24" ht="12.75" customHeight="1" x14ac:dyDescent="0.25">
      <c r="D442" s="138"/>
      <c r="E442" s="138"/>
      <c r="L442" s="138"/>
      <c r="O442" s="138"/>
      <c r="R442" s="138"/>
      <c r="U442" s="138"/>
      <c r="X442" s="138"/>
    </row>
    <row r="443" spans="4:24" ht="12.75" customHeight="1" x14ac:dyDescent="0.25">
      <c r="D443" s="138"/>
      <c r="E443" s="138"/>
      <c r="L443" s="138"/>
      <c r="O443" s="138"/>
      <c r="R443" s="138"/>
      <c r="U443" s="138"/>
      <c r="X443" s="138"/>
    </row>
    <row r="444" spans="4:24" ht="12.75" customHeight="1" x14ac:dyDescent="0.25">
      <c r="D444" s="138"/>
      <c r="E444" s="138"/>
      <c r="L444" s="138"/>
      <c r="O444" s="138"/>
      <c r="R444" s="138"/>
      <c r="U444" s="138"/>
      <c r="X444" s="138"/>
    </row>
    <row r="445" spans="4:24" ht="12.75" customHeight="1" x14ac:dyDescent="0.25">
      <c r="D445" s="138"/>
      <c r="E445" s="138"/>
      <c r="L445" s="138"/>
      <c r="O445" s="138"/>
      <c r="R445" s="138"/>
      <c r="U445" s="138"/>
      <c r="X445" s="138"/>
    </row>
    <row r="446" spans="4:24" ht="12.75" customHeight="1" x14ac:dyDescent="0.25">
      <c r="D446" s="138"/>
      <c r="E446" s="138"/>
      <c r="L446" s="138"/>
      <c r="O446" s="138"/>
      <c r="R446" s="138"/>
      <c r="U446" s="138"/>
      <c r="X446" s="138"/>
    </row>
    <row r="447" spans="4:24" ht="12.75" customHeight="1" x14ac:dyDescent="0.25">
      <c r="D447" s="138"/>
      <c r="E447" s="138"/>
      <c r="L447" s="138"/>
      <c r="O447" s="138"/>
      <c r="R447" s="138"/>
      <c r="U447" s="138"/>
      <c r="X447" s="138"/>
    </row>
    <row r="448" spans="4:24" ht="12.75" customHeight="1" x14ac:dyDescent="0.25">
      <c r="D448" s="138"/>
      <c r="E448" s="138"/>
      <c r="L448" s="138"/>
      <c r="O448" s="138"/>
      <c r="R448" s="138"/>
      <c r="U448" s="138"/>
      <c r="X448" s="138"/>
    </row>
    <row r="449" spans="4:24" ht="12.75" customHeight="1" x14ac:dyDescent="0.25">
      <c r="D449" s="138"/>
      <c r="E449" s="138"/>
      <c r="L449" s="138"/>
      <c r="O449" s="138"/>
      <c r="R449" s="138"/>
      <c r="U449" s="138"/>
      <c r="X449" s="138"/>
    </row>
    <row r="450" spans="4:24" ht="12.75" customHeight="1" x14ac:dyDescent="0.25">
      <c r="D450" s="138"/>
      <c r="E450" s="138"/>
      <c r="L450" s="138"/>
      <c r="O450" s="138"/>
      <c r="R450" s="138"/>
      <c r="U450" s="138"/>
      <c r="X450" s="138"/>
    </row>
    <row r="451" spans="4:24" ht="12.75" customHeight="1" x14ac:dyDescent="0.25">
      <c r="D451" s="138"/>
      <c r="E451" s="138"/>
      <c r="L451" s="138"/>
      <c r="O451" s="138"/>
      <c r="R451" s="138"/>
      <c r="U451" s="138"/>
      <c r="X451" s="138"/>
    </row>
    <row r="452" spans="4:24" ht="12.75" customHeight="1" x14ac:dyDescent="0.25">
      <c r="D452" s="138"/>
      <c r="E452" s="138"/>
      <c r="L452" s="138"/>
      <c r="O452" s="138"/>
      <c r="R452" s="138"/>
      <c r="U452" s="138"/>
      <c r="X452" s="138"/>
    </row>
    <row r="453" spans="4:24" ht="12.75" customHeight="1" x14ac:dyDescent="0.25">
      <c r="D453" s="138"/>
      <c r="E453" s="138"/>
      <c r="L453" s="138"/>
      <c r="O453" s="138"/>
      <c r="R453" s="138"/>
      <c r="U453" s="138"/>
      <c r="X453" s="138"/>
    </row>
    <row r="454" spans="4:24" ht="12.75" customHeight="1" x14ac:dyDescent="0.25">
      <c r="D454" s="138"/>
      <c r="E454" s="138"/>
      <c r="L454" s="138"/>
      <c r="O454" s="138"/>
      <c r="R454" s="138"/>
      <c r="U454" s="138"/>
      <c r="X454" s="138"/>
    </row>
    <row r="455" spans="4:24" ht="12.75" customHeight="1" x14ac:dyDescent="0.25">
      <c r="D455" s="138"/>
      <c r="E455" s="138"/>
      <c r="L455" s="138"/>
      <c r="O455" s="138"/>
      <c r="R455" s="138"/>
      <c r="U455" s="138"/>
      <c r="X455" s="138"/>
    </row>
    <row r="456" spans="4:24" ht="12.75" customHeight="1" x14ac:dyDescent="0.25">
      <c r="D456" s="138"/>
      <c r="E456" s="138"/>
      <c r="L456" s="138"/>
      <c r="O456" s="138"/>
      <c r="R456" s="138"/>
      <c r="U456" s="138"/>
      <c r="X456" s="138"/>
    </row>
    <row r="457" spans="4:24" ht="12.75" customHeight="1" x14ac:dyDescent="0.25">
      <c r="D457" s="138"/>
      <c r="E457" s="138"/>
      <c r="L457" s="138"/>
      <c r="O457" s="138"/>
      <c r="R457" s="138"/>
      <c r="U457" s="138"/>
      <c r="X457" s="138"/>
    </row>
    <row r="458" spans="4:24" ht="12.75" customHeight="1" x14ac:dyDescent="0.25">
      <c r="D458" s="138"/>
      <c r="E458" s="138"/>
      <c r="L458" s="138"/>
      <c r="O458" s="138"/>
      <c r="R458" s="138"/>
      <c r="U458" s="138"/>
      <c r="X458" s="138"/>
    </row>
    <row r="459" spans="4:24" ht="12.75" customHeight="1" x14ac:dyDescent="0.25">
      <c r="D459" s="138"/>
      <c r="E459" s="138"/>
      <c r="L459" s="138"/>
      <c r="O459" s="138"/>
      <c r="R459" s="138"/>
      <c r="U459" s="138"/>
      <c r="X459" s="138"/>
    </row>
    <row r="460" spans="4:24" ht="12.75" customHeight="1" x14ac:dyDescent="0.25">
      <c r="D460" s="138"/>
      <c r="E460" s="138"/>
      <c r="L460" s="138"/>
      <c r="O460" s="138"/>
      <c r="R460" s="138"/>
      <c r="U460" s="138"/>
      <c r="X460" s="138"/>
    </row>
    <row r="461" spans="4:24" ht="12.75" customHeight="1" x14ac:dyDescent="0.25">
      <c r="D461" s="138"/>
      <c r="E461" s="138"/>
      <c r="L461" s="138"/>
      <c r="O461" s="138"/>
      <c r="R461" s="138"/>
      <c r="U461" s="138"/>
      <c r="X461" s="138"/>
    </row>
    <row r="462" spans="4:24" ht="12.75" customHeight="1" x14ac:dyDescent="0.25">
      <c r="D462" s="138"/>
      <c r="E462" s="138"/>
      <c r="L462" s="138"/>
      <c r="O462" s="138"/>
      <c r="R462" s="138"/>
      <c r="U462" s="138"/>
      <c r="X462" s="138"/>
    </row>
    <row r="463" spans="4:24" ht="12.75" customHeight="1" x14ac:dyDescent="0.25">
      <c r="D463" s="138"/>
      <c r="E463" s="138"/>
      <c r="L463" s="138"/>
      <c r="O463" s="138"/>
      <c r="R463" s="138"/>
      <c r="U463" s="138"/>
      <c r="X463" s="138"/>
    </row>
    <row r="464" spans="4:24" ht="12.75" customHeight="1" x14ac:dyDescent="0.25">
      <c r="D464" s="138"/>
      <c r="E464" s="138"/>
      <c r="L464" s="138"/>
      <c r="O464" s="138"/>
      <c r="R464" s="138"/>
      <c r="U464" s="138"/>
      <c r="X464" s="138"/>
    </row>
    <row r="465" spans="4:24" ht="12.75" customHeight="1" x14ac:dyDescent="0.25">
      <c r="D465" s="138"/>
      <c r="E465" s="138"/>
      <c r="L465" s="138"/>
      <c r="O465" s="138"/>
      <c r="R465" s="138"/>
      <c r="U465" s="138"/>
      <c r="X465" s="138"/>
    </row>
    <row r="466" spans="4:24" ht="12.75" customHeight="1" x14ac:dyDescent="0.25">
      <c r="D466" s="138"/>
      <c r="E466" s="138"/>
      <c r="L466" s="138"/>
      <c r="O466" s="138"/>
      <c r="R466" s="138"/>
      <c r="U466" s="138"/>
      <c r="X466" s="138"/>
    </row>
    <row r="467" spans="4:24" ht="12.75" customHeight="1" x14ac:dyDescent="0.25">
      <c r="D467" s="138"/>
      <c r="E467" s="138"/>
      <c r="L467" s="138"/>
      <c r="O467" s="138"/>
      <c r="R467" s="138"/>
      <c r="U467" s="138"/>
      <c r="X467" s="138"/>
    </row>
    <row r="468" spans="4:24" ht="12.75" customHeight="1" x14ac:dyDescent="0.25">
      <c r="D468" s="138"/>
      <c r="E468" s="138"/>
      <c r="L468" s="138"/>
      <c r="O468" s="138"/>
      <c r="R468" s="138"/>
      <c r="U468" s="138"/>
      <c r="X468" s="138"/>
    </row>
    <row r="469" spans="4:24" ht="12.75" customHeight="1" x14ac:dyDescent="0.25">
      <c r="D469" s="138"/>
      <c r="E469" s="138"/>
      <c r="L469" s="138"/>
      <c r="O469" s="138"/>
      <c r="R469" s="138"/>
      <c r="U469" s="138"/>
      <c r="X469" s="138"/>
    </row>
    <row r="470" spans="4:24" ht="12.75" customHeight="1" x14ac:dyDescent="0.25">
      <c r="D470" s="138"/>
      <c r="E470" s="138"/>
      <c r="L470" s="138"/>
      <c r="O470" s="138"/>
      <c r="R470" s="138"/>
      <c r="U470" s="138"/>
      <c r="X470" s="138"/>
    </row>
    <row r="471" spans="4:24" ht="12.75" customHeight="1" x14ac:dyDescent="0.25">
      <c r="D471" s="138"/>
      <c r="E471" s="138"/>
      <c r="L471" s="138"/>
      <c r="O471" s="138"/>
      <c r="R471" s="138"/>
      <c r="U471" s="138"/>
      <c r="X471" s="138"/>
    </row>
    <row r="472" spans="4:24" ht="12.75" customHeight="1" x14ac:dyDescent="0.25">
      <c r="D472" s="138"/>
      <c r="E472" s="138"/>
      <c r="L472" s="138"/>
      <c r="O472" s="138"/>
      <c r="R472" s="138"/>
      <c r="U472" s="138"/>
      <c r="X472" s="138"/>
    </row>
    <row r="473" spans="4:24" ht="12.75" customHeight="1" x14ac:dyDescent="0.25">
      <c r="D473" s="138"/>
      <c r="E473" s="138"/>
      <c r="L473" s="138"/>
      <c r="O473" s="138"/>
      <c r="R473" s="138"/>
      <c r="U473" s="138"/>
      <c r="X473" s="138"/>
    </row>
    <row r="474" spans="4:24" ht="12.75" customHeight="1" x14ac:dyDescent="0.25">
      <c r="D474" s="138"/>
      <c r="E474" s="138"/>
      <c r="L474" s="138"/>
      <c r="O474" s="138"/>
      <c r="R474" s="138"/>
      <c r="U474" s="138"/>
      <c r="X474" s="138"/>
    </row>
    <row r="475" spans="4:24" ht="12.75" customHeight="1" x14ac:dyDescent="0.25">
      <c r="D475" s="138"/>
      <c r="E475" s="138"/>
      <c r="L475" s="138"/>
      <c r="O475" s="138"/>
      <c r="R475" s="138"/>
      <c r="U475" s="138"/>
      <c r="X475" s="138"/>
    </row>
    <row r="476" spans="4:24" ht="12.75" customHeight="1" x14ac:dyDescent="0.25">
      <c r="D476" s="138"/>
      <c r="E476" s="138"/>
      <c r="L476" s="138"/>
      <c r="O476" s="138"/>
      <c r="R476" s="138"/>
      <c r="U476" s="138"/>
      <c r="X476" s="138"/>
    </row>
    <row r="477" spans="4:24" ht="12.75" customHeight="1" x14ac:dyDescent="0.25">
      <c r="D477" s="138"/>
      <c r="E477" s="138"/>
      <c r="L477" s="138"/>
      <c r="O477" s="138"/>
      <c r="R477" s="138"/>
      <c r="U477" s="138"/>
      <c r="X477" s="138"/>
    </row>
    <row r="478" spans="4:24" ht="12.75" customHeight="1" x14ac:dyDescent="0.25">
      <c r="D478" s="138"/>
      <c r="E478" s="138"/>
      <c r="L478" s="138"/>
      <c r="O478" s="138"/>
      <c r="R478" s="138"/>
      <c r="U478" s="138"/>
      <c r="X478" s="138"/>
    </row>
    <row r="479" spans="4:24" ht="12.75" customHeight="1" x14ac:dyDescent="0.25">
      <c r="D479" s="138"/>
      <c r="E479" s="138"/>
      <c r="L479" s="138"/>
      <c r="O479" s="138"/>
      <c r="R479" s="138"/>
      <c r="U479" s="138"/>
      <c r="X479" s="138"/>
    </row>
    <row r="480" spans="4:24" ht="12.75" customHeight="1" x14ac:dyDescent="0.25">
      <c r="D480" s="138"/>
      <c r="E480" s="138"/>
      <c r="L480" s="138"/>
      <c r="O480" s="138"/>
      <c r="R480" s="138"/>
      <c r="U480" s="138"/>
      <c r="X480" s="138"/>
    </row>
    <row r="481" spans="4:24" ht="12.75" customHeight="1" x14ac:dyDescent="0.25">
      <c r="D481" s="138"/>
      <c r="E481" s="138"/>
      <c r="L481" s="138"/>
      <c r="O481" s="138"/>
      <c r="R481" s="138"/>
      <c r="U481" s="138"/>
      <c r="X481" s="138"/>
    </row>
    <row r="482" spans="4:24" ht="12.75" customHeight="1" x14ac:dyDescent="0.25">
      <c r="D482" s="138"/>
      <c r="E482" s="138"/>
      <c r="L482" s="138"/>
      <c r="O482" s="138"/>
      <c r="R482" s="138"/>
      <c r="U482" s="138"/>
      <c r="X482" s="138"/>
    </row>
    <row r="483" spans="4:24" ht="12.75" customHeight="1" x14ac:dyDescent="0.25">
      <c r="D483" s="138"/>
      <c r="E483" s="138"/>
      <c r="L483" s="138"/>
      <c r="O483" s="138"/>
      <c r="R483" s="138"/>
      <c r="U483" s="138"/>
      <c r="X483" s="138"/>
    </row>
    <row r="484" spans="4:24" ht="12.75" customHeight="1" x14ac:dyDescent="0.25">
      <c r="D484" s="138"/>
      <c r="E484" s="138"/>
      <c r="L484" s="138"/>
      <c r="O484" s="138"/>
      <c r="R484" s="138"/>
      <c r="U484" s="138"/>
      <c r="X484" s="138"/>
    </row>
    <row r="485" spans="4:24" ht="12.75" customHeight="1" x14ac:dyDescent="0.25">
      <c r="D485" s="138"/>
      <c r="E485" s="138"/>
      <c r="L485" s="138"/>
      <c r="O485" s="138"/>
      <c r="R485" s="138"/>
      <c r="U485" s="138"/>
      <c r="X485" s="138"/>
    </row>
    <row r="486" spans="4:24" ht="12.75" customHeight="1" x14ac:dyDescent="0.25">
      <c r="D486" s="138"/>
      <c r="E486" s="138"/>
      <c r="L486" s="138"/>
      <c r="O486" s="138"/>
      <c r="R486" s="138"/>
      <c r="U486" s="138"/>
      <c r="X486" s="138"/>
    </row>
    <row r="487" spans="4:24" ht="12.75" customHeight="1" x14ac:dyDescent="0.25">
      <c r="D487" s="138"/>
      <c r="E487" s="138"/>
      <c r="L487" s="138"/>
      <c r="O487" s="138"/>
      <c r="R487" s="138"/>
      <c r="U487" s="138"/>
      <c r="X487" s="138"/>
    </row>
    <row r="488" spans="4:24" ht="12.75" customHeight="1" x14ac:dyDescent="0.25">
      <c r="D488" s="138"/>
      <c r="E488" s="138"/>
      <c r="L488" s="138"/>
      <c r="O488" s="138"/>
      <c r="R488" s="138"/>
      <c r="U488" s="138"/>
      <c r="X488" s="138"/>
    </row>
    <row r="489" spans="4:24" ht="12.75" customHeight="1" x14ac:dyDescent="0.25">
      <c r="D489" s="138"/>
      <c r="E489" s="138"/>
      <c r="L489" s="138"/>
      <c r="O489" s="138"/>
      <c r="R489" s="138"/>
      <c r="U489" s="138"/>
      <c r="X489" s="138"/>
    </row>
    <row r="490" spans="4:24" ht="12.75" customHeight="1" x14ac:dyDescent="0.25">
      <c r="D490" s="138"/>
      <c r="E490" s="138"/>
      <c r="L490" s="138"/>
      <c r="O490" s="138"/>
      <c r="R490" s="138"/>
      <c r="U490" s="138"/>
      <c r="X490" s="138"/>
    </row>
    <row r="491" spans="4:24" ht="12.75" customHeight="1" x14ac:dyDescent="0.25">
      <c r="D491" s="138"/>
      <c r="E491" s="138"/>
      <c r="L491" s="138"/>
      <c r="O491" s="138"/>
      <c r="R491" s="138"/>
      <c r="U491" s="138"/>
      <c r="X491" s="138"/>
    </row>
    <row r="492" spans="4:24" ht="12.75" customHeight="1" x14ac:dyDescent="0.25">
      <c r="D492" s="138"/>
      <c r="E492" s="138"/>
      <c r="L492" s="138"/>
      <c r="O492" s="138"/>
      <c r="R492" s="138"/>
      <c r="U492" s="138"/>
      <c r="X492" s="138"/>
    </row>
    <row r="493" spans="4:24" ht="12.75" customHeight="1" x14ac:dyDescent="0.25">
      <c r="D493" s="138"/>
      <c r="E493" s="138"/>
      <c r="L493" s="138"/>
      <c r="O493" s="138"/>
      <c r="R493" s="138"/>
      <c r="U493" s="138"/>
      <c r="X493" s="138"/>
    </row>
    <row r="494" spans="4:24" ht="12.75" customHeight="1" x14ac:dyDescent="0.25">
      <c r="D494" s="138"/>
      <c r="E494" s="138"/>
      <c r="L494" s="138"/>
      <c r="O494" s="138"/>
      <c r="R494" s="138"/>
      <c r="U494" s="138"/>
      <c r="X494" s="138"/>
    </row>
    <row r="495" spans="4:24" ht="12.75" customHeight="1" x14ac:dyDescent="0.25">
      <c r="D495" s="138"/>
      <c r="E495" s="138"/>
      <c r="L495" s="138"/>
      <c r="O495" s="138"/>
      <c r="R495" s="138"/>
      <c r="U495" s="138"/>
      <c r="X495" s="138"/>
    </row>
    <row r="496" spans="4:24" ht="12.75" customHeight="1" x14ac:dyDescent="0.25">
      <c r="D496" s="138"/>
      <c r="E496" s="138"/>
      <c r="L496" s="138"/>
      <c r="O496" s="138"/>
      <c r="R496" s="138"/>
      <c r="U496" s="138"/>
      <c r="X496" s="138"/>
    </row>
    <row r="497" spans="4:24" ht="12.75" customHeight="1" x14ac:dyDescent="0.25">
      <c r="D497" s="138"/>
      <c r="E497" s="138"/>
      <c r="L497" s="138"/>
      <c r="O497" s="138"/>
      <c r="R497" s="138"/>
      <c r="U497" s="138"/>
      <c r="X497" s="138"/>
    </row>
    <row r="498" spans="4:24" ht="12.75" customHeight="1" x14ac:dyDescent="0.25">
      <c r="D498" s="138"/>
      <c r="E498" s="138"/>
      <c r="L498" s="138"/>
      <c r="O498" s="138"/>
      <c r="R498" s="138"/>
      <c r="U498" s="138"/>
      <c r="X498" s="138"/>
    </row>
    <row r="499" spans="4:24" ht="12.75" customHeight="1" x14ac:dyDescent="0.25">
      <c r="D499" s="138"/>
      <c r="E499" s="138"/>
      <c r="L499" s="138"/>
      <c r="O499" s="138"/>
      <c r="R499" s="138"/>
      <c r="U499" s="138"/>
      <c r="X499" s="138"/>
    </row>
    <row r="500" spans="4:24" ht="12.75" customHeight="1" x14ac:dyDescent="0.25">
      <c r="D500" s="138"/>
      <c r="E500" s="138"/>
      <c r="L500" s="138"/>
      <c r="O500" s="138"/>
      <c r="R500" s="138"/>
      <c r="U500" s="138"/>
      <c r="X500" s="138"/>
    </row>
    <row r="501" spans="4:24" ht="12.75" customHeight="1" x14ac:dyDescent="0.25">
      <c r="D501" s="138"/>
      <c r="E501" s="138"/>
      <c r="L501" s="138"/>
      <c r="O501" s="138"/>
      <c r="R501" s="138"/>
      <c r="U501" s="138"/>
      <c r="X501" s="138"/>
    </row>
    <row r="502" spans="4:24" ht="12.75" customHeight="1" x14ac:dyDescent="0.25">
      <c r="D502" s="138"/>
      <c r="E502" s="138"/>
      <c r="L502" s="138"/>
      <c r="O502" s="138"/>
      <c r="R502" s="138"/>
      <c r="U502" s="138"/>
      <c r="X502" s="138"/>
    </row>
    <row r="503" spans="4:24" ht="12.75" customHeight="1" x14ac:dyDescent="0.25">
      <c r="D503" s="138"/>
      <c r="E503" s="138"/>
      <c r="L503" s="138"/>
      <c r="O503" s="138"/>
      <c r="R503" s="138"/>
      <c r="U503" s="138"/>
      <c r="X503" s="138"/>
    </row>
    <row r="504" spans="4:24" ht="12.75" customHeight="1" x14ac:dyDescent="0.25">
      <c r="D504" s="138"/>
      <c r="E504" s="138"/>
      <c r="L504" s="138"/>
      <c r="O504" s="138"/>
      <c r="R504" s="138"/>
      <c r="U504" s="138"/>
      <c r="X504" s="138"/>
    </row>
    <row r="505" spans="4:24" ht="12.75" customHeight="1" x14ac:dyDescent="0.25">
      <c r="D505" s="138"/>
      <c r="E505" s="138"/>
      <c r="L505" s="138"/>
      <c r="O505" s="138"/>
      <c r="R505" s="138"/>
      <c r="U505" s="138"/>
      <c r="X505" s="138"/>
    </row>
    <row r="506" spans="4:24" ht="12.75" customHeight="1" x14ac:dyDescent="0.25">
      <c r="D506" s="138"/>
      <c r="E506" s="138"/>
      <c r="L506" s="138"/>
      <c r="O506" s="138"/>
      <c r="R506" s="138"/>
      <c r="U506" s="138"/>
      <c r="X506" s="138"/>
    </row>
    <row r="507" spans="4:24" ht="12.75" customHeight="1" x14ac:dyDescent="0.25">
      <c r="D507" s="138"/>
      <c r="E507" s="138"/>
      <c r="L507" s="138"/>
      <c r="O507" s="138"/>
      <c r="R507" s="138"/>
      <c r="U507" s="138"/>
      <c r="X507" s="138"/>
    </row>
    <row r="508" spans="4:24" ht="12.75" customHeight="1" x14ac:dyDescent="0.25">
      <c r="D508" s="138"/>
      <c r="E508" s="138"/>
      <c r="L508" s="138"/>
      <c r="O508" s="138"/>
      <c r="R508" s="138"/>
      <c r="U508" s="138"/>
      <c r="X508" s="138"/>
    </row>
    <row r="509" spans="4:24" ht="12.75" customHeight="1" x14ac:dyDescent="0.25">
      <c r="D509" s="138"/>
      <c r="E509" s="138"/>
      <c r="L509" s="138"/>
      <c r="O509" s="138"/>
      <c r="R509" s="138"/>
      <c r="U509" s="138"/>
      <c r="X509" s="138"/>
    </row>
    <row r="510" spans="4:24" ht="12.75" customHeight="1" x14ac:dyDescent="0.25">
      <c r="D510" s="138"/>
      <c r="E510" s="138"/>
      <c r="L510" s="138"/>
      <c r="O510" s="138"/>
      <c r="R510" s="138"/>
      <c r="U510" s="138"/>
      <c r="X510" s="138"/>
    </row>
    <row r="511" spans="4:24" ht="12.75" customHeight="1" x14ac:dyDescent="0.25">
      <c r="D511" s="138"/>
      <c r="E511" s="138"/>
      <c r="L511" s="138"/>
      <c r="O511" s="138"/>
      <c r="R511" s="138"/>
      <c r="U511" s="138"/>
      <c r="X511" s="138"/>
    </row>
    <row r="512" spans="4:24" ht="12.75" customHeight="1" x14ac:dyDescent="0.25">
      <c r="D512" s="138"/>
      <c r="E512" s="138"/>
      <c r="L512" s="138"/>
      <c r="O512" s="138"/>
      <c r="R512" s="138"/>
      <c r="U512" s="138"/>
      <c r="X512" s="138"/>
    </row>
    <row r="513" spans="4:24" ht="12.75" customHeight="1" x14ac:dyDescent="0.25">
      <c r="D513" s="138"/>
      <c r="E513" s="138"/>
      <c r="L513" s="138"/>
      <c r="O513" s="138"/>
      <c r="R513" s="138"/>
      <c r="U513" s="138"/>
      <c r="X513" s="138"/>
    </row>
    <row r="514" spans="4:24" ht="12.75" customHeight="1" x14ac:dyDescent="0.25">
      <c r="D514" s="138"/>
      <c r="E514" s="138"/>
      <c r="L514" s="138"/>
      <c r="O514" s="138"/>
      <c r="R514" s="138"/>
      <c r="U514" s="138"/>
      <c r="X514" s="138"/>
    </row>
    <row r="515" spans="4:24" ht="12.75" customHeight="1" x14ac:dyDescent="0.25">
      <c r="D515" s="138"/>
      <c r="E515" s="138"/>
      <c r="L515" s="138"/>
      <c r="O515" s="138"/>
      <c r="R515" s="138"/>
      <c r="U515" s="138"/>
      <c r="X515" s="138"/>
    </row>
    <row r="516" spans="4:24" ht="12.75" customHeight="1" x14ac:dyDescent="0.25">
      <c r="D516" s="138"/>
      <c r="E516" s="138"/>
      <c r="L516" s="138"/>
      <c r="O516" s="138"/>
      <c r="R516" s="138"/>
      <c r="U516" s="138"/>
      <c r="X516" s="138"/>
    </row>
    <row r="517" spans="4:24" ht="12.75" customHeight="1" x14ac:dyDescent="0.25">
      <c r="D517" s="138"/>
      <c r="E517" s="138"/>
      <c r="L517" s="138"/>
      <c r="O517" s="138"/>
      <c r="R517" s="138"/>
      <c r="U517" s="138"/>
      <c r="X517" s="138"/>
    </row>
    <row r="518" spans="4:24" ht="12.75" customHeight="1" x14ac:dyDescent="0.25">
      <c r="D518" s="138"/>
      <c r="E518" s="138"/>
      <c r="L518" s="138"/>
      <c r="O518" s="138"/>
      <c r="R518" s="138"/>
      <c r="U518" s="138"/>
      <c r="X518" s="138"/>
    </row>
    <row r="519" spans="4:24" ht="12.75" customHeight="1" x14ac:dyDescent="0.25">
      <c r="D519" s="138"/>
      <c r="E519" s="138"/>
      <c r="L519" s="138"/>
      <c r="O519" s="138"/>
      <c r="R519" s="138"/>
      <c r="U519" s="138"/>
      <c r="X519" s="138"/>
    </row>
    <row r="520" spans="4:24" ht="12.75" customHeight="1" x14ac:dyDescent="0.25">
      <c r="D520" s="138"/>
      <c r="E520" s="138"/>
      <c r="L520" s="138"/>
      <c r="O520" s="138"/>
      <c r="R520" s="138"/>
      <c r="U520" s="138"/>
      <c r="X520" s="138"/>
    </row>
    <row r="521" spans="4:24" ht="12.75" customHeight="1" x14ac:dyDescent="0.25">
      <c r="D521" s="138"/>
      <c r="E521" s="138"/>
      <c r="L521" s="138"/>
      <c r="O521" s="138"/>
      <c r="R521" s="138"/>
      <c r="U521" s="138"/>
      <c r="X521" s="138"/>
    </row>
    <row r="522" spans="4:24" ht="12.75" customHeight="1" x14ac:dyDescent="0.25">
      <c r="D522" s="138"/>
      <c r="E522" s="138"/>
      <c r="L522" s="138"/>
      <c r="O522" s="138"/>
      <c r="R522" s="138"/>
      <c r="U522" s="138"/>
      <c r="X522" s="138"/>
    </row>
    <row r="523" spans="4:24" ht="12.75" customHeight="1" x14ac:dyDescent="0.25">
      <c r="D523" s="138"/>
      <c r="E523" s="138"/>
      <c r="L523" s="138"/>
      <c r="O523" s="138"/>
      <c r="R523" s="138"/>
      <c r="U523" s="138"/>
      <c r="X523" s="138"/>
    </row>
    <row r="524" spans="4:24" ht="12.75" customHeight="1" x14ac:dyDescent="0.25">
      <c r="D524" s="138"/>
      <c r="E524" s="138"/>
      <c r="L524" s="138"/>
      <c r="O524" s="138"/>
      <c r="R524" s="138"/>
      <c r="U524" s="138"/>
      <c r="X524" s="138"/>
    </row>
    <row r="525" spans="4:24" ht="12.75" customHeight="1" x14ac:dyDescent="0.25">
      <c r="D525" s="138"/>
      <c r="E525" s="138"/>
      <c r="L525" s="138"/>
      <c r="O525" s="138"/>
      <c r="R525" s="138"/>
      <c r="U525" s="138"/>
      <c r="X525" s="138"/>
    </row>
    <row r="526" spans="4:24" ht="12.75" customHeight="1" x14ac:dyDescent="0.25">
      <c r="D526" s="138"/>
      <c r="E526" s="138"/>
      <c r="L526" s="138"/>
      <c r="O526" s="138"/>
      <c r="R526" s="138"/>
      <c r="U526" s="138"/>
      <c r="X526" s="138"/>
    </row>
    <row r="527" spans="4:24" ht="12.75" customHeight="1" x14ac:dyDescent="0.25">
      <c r="D527" s="138"/>
      <c r="E527" s="138"/>
      <c r="L527" s="138"/>
      <c r="O527" s="138"/>
      <c r="R527" s="138"/>
      <c r="U527" s="138"/>
      <c r="X527" s="138"/>
    </row>
    <row r="528" spans="4:24" ht="12.75" customHeight="1" x14ac:dyDescent="0.25">
      <c r="D528" s="138"/>
      <c r="E528" s="138"/>
      <c r="L528" s="138"/>
      <c r="O528" s="138"/>
      <c r="R528" s="138"/>
      <c r="U528" s="138"/>
      <c r="X528" s="138"/>
    </row>
    <row r="529" spans="4:24" ht="12.75" customHeight="1" x14ac:dyDescent="0.25">
      <c r="D529" s="138"/>
      <c r="E529" s="138"/>
      <c r="L529" s="138"/>
      <c r="O529" s="138"/>
      <c r="R529" s="138"/>
      <c r="U529" s="138"/>
      <c r="X529" s="138"/>
    </row>
    <row r="530" spans="4:24" ht="12.75" customHeight="1" x14ac:dyDescent="0.25">
      <c r="D530" s="138"/>
      <c r="E530" s="138"/>
      <c r="L530" s="138"/>
      <c r="O530" s="138"/>
      <c r="R530" s="138"/>
      <c r="U530" s="138"/>
      <c r="X530" s="138"/>
    </row>
    <row r="531" spans="4:24" ht="12.75" customHeight="1" x14ac:dyDescent="0.25">
      <c r="D531" s="138"/>
      <c r="E531" s="138"/>
      <c r="L531" s="138"/>
      <c r="O531" s="138"/>
      <c r="R531" s="138"/>
      <c r="U531" s="138"/>
      <c r="X531" s="138"/>
    </row>
    <row r="532" spans="4:24" ht="12.75" customHeight="1" x14ac:dyDescent="0.25">
      <c r="D532" s="138"/>
      <c r="E532" s="138"/>
      <c r="L532" s="138"/>
      <c r="O532" s="138"/>
      <c r="R532" s="138"/>
      <c r="U532" s="138"/>
      <c r="X532" s="138"/>
    </row>
    <row r="533" spans="4:24" ht="12.75" customHeight="1" x14ac:dyDescent="0.25">
      <c r="D533" s="138"/>
      <c r="E533" s="138"/>
      <c r="L533" s="138"/>
      <c r="O533" s="138"/>
      <c r="R533" s="138"/>
      <c r="U533" s="138"/>
      <c r="X533" s="138"/>
    </row>
    <row r="534" spans="4:24" ht="12.75" customHeight="1" x14ac:dyDescent="0.25">
      <c r="D534" s="138"/>
      <c r="E534" s="138"/>
      <c r="L534" s="138"/>
      <c r="O534" s="138"/>
      <c r="R534" s="138"/>
      <c r="U534" s="138"/>
      <c r="X534" s="138"/>
    </row>
    <row r="535" spans="4:24" ht="12.75" customHeight="1" x14ac:dyDescent="0.25">
      <c r="D535" s="138"/>
      <c r="E535" s="138"/>
      <c r="L535" s="138"/>
      <c r="O535" s="138"/>
      <c r="R535" s="138"/>
      <c r="U535" s="138"/>
      <c r="X535" s="138"/>
    </row>
    <row r="536" spans="4:24" ht="12.75" customHeight="1" x14ac:dyDescent="0.25">
      <c r="D536" s="138"/>
      <c r="E536" s="138"/>
      <c r="L536" s="138"/>
      <c r="O536" s="138"/>
      <c r="R536" s="138"/>
      <c r="U536" s="138"/>
      <c r="X536" s="138"/>
    </row>
    <row r="537" spans="4:24" ht="12.75" customHeight="1" x14ac:dyDescent="0.25">
      <c r="D537" s="138"/>
      <c r="E537" s="138"/>
      <c r="L537" s="138"/>
      <c r="O537" s="138"/>
      <c r="R537" s="138"/>
      <c r="U537" s="138"/>
      <c r="X537" s="138"/>
    </row>
    <row r="538" spans="4:24" ht="12.75" customHeight="1" x14ac:dyDescent="0.25">
      <c r="D538" s="138"/>
      <c r="E538" s="138"/>
      <c r="L538" s="138"/>
      <c r="O538" s="138"/>
      <c r="R538" s="138"/>
      <c r="U538" s="138"/>
      <c r="X538" s="138"/>
    </row>
    <row r="539" spans="4:24" ht="12.75" customHeight="1" x14ac:dyDescent="0.25">
      <c r="D539" s="138"/>
      <c r="E539" s="138"/>
      <c r="L539" s="138"/>
      <c r="O539" s="138"/>
      <c r="R539" s="138"/>
      <c r="U539" s="138"/>
      <c r="X539" s="138"/>
    </row>
    <row r="540" spans="4:24" ht="12.75" customHeight="1" x14ac:dyDescent="0.25">
      <c r="D540" s="138"/>
      <c r="E540" s="138"/>
      <c r="L540" s="138"/>
      <c r="O540" s="138"/>
      <c r="R540" s="138"/>
      <c r="U540" s="138"/>
      <c r="X540" s="138"/>
    </row>
    <row r="541" spans="4:24" ht="12.75" customHeight="1" x14ac:dyDescent="0.25">
      <c r="D541" s="138"/>
      <c r="E541" s="138"/>
      <c r="L541" s="138"/>
      <c r="O541" s="138"/>
      <c r="R541" s="138"/>
      <c r="U541" s="138"/>
      <c r="X541" s="138"/>
    </row>
    <row r="542" spans="4:24" ht="12.75" customHeight="1" x14ac:dyDescent="0.25">
      <c r="D542" s="138"/>
      <c r="E542" s="138"/>
      <c r="L542" s="138"/>
      <c r="O542" s="138"/>
      <c r="R542" s="138"/>
      <c r="U542" s="138"/>
      <c r="X542" s="138"/>
    </row>
    <row r="543" spans="4:24" ht="12.75" customHeight="1" x14ac:dyDescent="0.25">
      <c r="D543" s="138"/>
      <c r="E543" s="138"/>
      <c r="L543" s="138"/>
      <c r="O543" s="138"/>
      <c r="R543" s="138"/>
      <c r="U543" s="138"/>
      <c r="X543" s="138"/>
    </row>
    <row r="544" spans="4:24" ht="12.75" customHeight="1" x14ac:dyDescent="0.25">
      <c r="D544" s="138"/>
      <c r="E544" s="138"/>
      <c r="L544" s="138"/>
      <c r="O544" s="138"/>
      <c r="R544" s="138"/>
      <c r="U544" s="138"/>
      <c r="X544" s="138"/>
    </row>
    <row r="545" spans="4:24" ht="12.75" customHeight="1" x14ac:dyDescent="0.25">
      <c r="D545" s="138"/>
      <c r="E545" s="138"/>
      <c r="L545" s="138"/>
      <c r="O545" s="138"/>
      <c r="R545" s="138"/>
      <c r="U545" s="138"/>
      <c r="X545" s="138"/>
    </row>
    <row r="546" spans="4:24" ht="12.75" customHeight="1" x14ac:dyDescent="0.25">
      <c r="D546" s="138"/>
      <c r="E546" s="138"/>
      <c r="L546" s="138"/>
      <c r="O546" s="138"/>
      <c r="R546" s="138"/>
      <c r="U546" s="138"/>
      <c r="X546" s="138"/>
    </row>
    <row r="547" spans="4:24" ht="12.75" customHeight="1" x14ac:dyDescent="0.25">
      <c r="D547" s="138"/>
      <c r="E547" s="138"/>
      <c r="L547" s="138"/>
      <c r="O547" s="138"/>
      <c r="R547" s="138"/>
      <c r="U547" s="138"/>
      <c r="X547" s="138"/>
    </row>
    <row r="548" spans="4:24" ht="12.75" customHeight="1" x14ac:dyDescent="0.25">
      <c r="D548" s="138"/>
      <c r="E548" s="138"/>
      <c r="L548" s="138"/>
      <c r="O548" s="138"/>
      <c r="R548" s="138"/>
      <c r="U548" s="138"/>
      <c r="X548" s="138"/>
    </row>
    <row r="549" spans="4:24" ht="12.75" customHeight="1" x14ac:dyDescent="0.25">
      <c r="D549" s="138"/>
      <c r="E549" s="138"/>
      <c r="L549" s="138"/>
      <c r="O549" s="138"/>
      <c r="R549" s="138"/>
      <c r="U549" s="138"/>
      <c r="X549" s="138"/>
    </row>
    <row r="550" spans="4:24" ht="12.75" customHeight="1" x14ac:dyDescent="0.25">
      <c r="D550" s="138"/>
      <c r="E550" s="138"/>
      <c r="L550" s="138"/>
      <c r="O550" s="138"/>
      <c r="R550" s="138"/>
      <c r="U550" s="138"/>
      <c r="X550" s="138"/>
    </row>
    <row r="551" spans="4:24" ht="12.75" customHeight="1" x14ac:dyDescent="0.25">
      <c r="D551" s="138"/>
      <c r="E551" s="138"/>
      <c r="L551" s="138"/>
      <c r="O551" s="138"/>
      <c r="R551" s="138"/>
      <c r="U551" s="138"/>
      <c r="X551" s="138"/>
    </row>
    <row r="552" spans="4:24" ht="12.75" customHeight="1" x14ac:dyDescent="0.25">
      <c r="D552" s="138"/>
      <c r="E552" s="138"/>
      <c r="L552" s="138"/>
      <c r="O552" s="138"/>
      <c r="R552" s="138"/>
      <c r="U552" s="138"/>
      <c r="X552" s="138"/>
    </row>
    <row r="553" spans="4:24" ht="12.75" customHeight="1" x14ac:dyDescent="0.25">
      <c r="D553" s="138"/>
      <c r="E553" s="138"/>
      <c r="L553" s="138"/>
      <c r="O553" s="138"/>
      <c r="R553" s="138"/>
      <c r="U553" s="138"/>
      <c r="X553" s="138"/>
    </row>
    <row r="554" spans="4:24" ht="12.75" customHeight="1" x14ac:dyDescent="0.25">
      <c r="D554" s="138"/>
      <c r="E554" s="138"/>
      <c r="L554" s="138"/>
      <c r="O554" s="138"/>
      <c r="R554" s="138"/>
      <c r="U554" s="138"/>
      <c r="X554" s="138"/>
    </row>
    <row r="555" spans="4:24" ht="12.75" customHeight="1" x14ac:dyDescent="0.25">
      <c r="D555" s="138"/>
      <c r="E555" s="138"/>
      <c r="L555" s="138"/>
      <c r="O555" s="138"/>
      <c r="R555" s="138"/>
      <c r="U555" s="138"/>
      <c r="X555" s="138"/>
    </row>
    <row r="556" spans="4:24" ht="12.75" customHeight="1" x14ac:dyDescent="0.25">
      <c r="D556" s="138"/>
      <c r="E556" s="138"/>
      <c r="L556" s="138"/>
      <c r="O556" s="138"/>
      <c r="R556" s="138"/>
      <c r="U556" s="138"/>
      <c r="X556" s="138"/>
    </row>
    <row r="557" spans="4:24" ht="12.75" customHeight="1" x14ac:dyDescent="0.25">
      <c r="D557" s="138"/>
      <c r="E557" s="138"/>
      <c r="L557" s="138"/>
      <c r="O557" s="138"/>
      <c r="R557" s="138"/>
      <c r="U557" s="138"/>
      <c r="X557" s="138"/>
    </row>
    <row r="558" spans="4:24" ht="12.75" customHeight="1" x14ac:dyDescent="0.25">
      <c r="D558" s="138"/>
      <c r="E558" s="138"/>
      <c r="L558" s="138"/>
      <c r="O558" s="138"/>
      <c r="R558" s="138"/>
      <c r="U558" s="138"/>
      <c r="X558" s="138"/>
    </row>
    <row r="559" spans="4:24" ht="12.75" customHeight="1" x14ac:dyDescent="0.25">
      <c r="D559" s="138"/>
      <c r="E559" s="138"/>
      <c r="L559" s="138"/>
      <c r="O559" s="138"/>
      <c r="R559" s="138"/>
      <c r="U559" s="138"/>
      <c r="X559" s="138"/>
    </row>
    <row r="560" spans="4:24" ht="12.75" customHeight="1" x14ac:dyDescent="0.25">
      <c r="D560" s="138"/>
      <c r="E560" s="138"/>
      <c r="L560" s="138"/>
      <c r="O560" s="138"/>
      <c r="R560" s="138"/>
      <c r="U560" s="138"/>
      <c r="X560" s="138"/>
    </row>
    <row r="561" spans="4:24" ht="12.75" customHeight="1" x14ac:dyDescent="0.25">
      <c r="D561" s="138"/>
      <c r="E561" s="138"/>
      <c r="L561" s="138"/>
      <c r="O561" s="138"/>
      <c r="R561" s="138"/>
      <c r="U561" s="138"/>
      <c r="X561" s="138"/>
    </row>
    <row r="562" spans="4:24" ht="12.75" customHeight="1" x14ac:dyDescent="0.25">
      <c r="D562" s="138"/>
      <c r="E562" s="138"/>
      <c r="L562" s="138"/>
      <c r="O562" s="138"/>
      <c r="R562" s="138"/>
      <c r="U562" s="138"/>
      <c r="X562" s="138"/>
    </row>
    <row r="563" spans="4:24" ht="12.75" customHeight="1" x14ac:dyDescent="0.25">
      <c r="D563" s="138"/>
      <c r="E563" s="138"/>
      <c r="L563" s="138"/>
      <c r="O563" s="138"/>
      <c r="R563" s="138"/>
      <c r="U563" s="138"/>
      <c r="X563" s="138"/>
    </row>
    <row r="564" spans="4:24" ht="12.75" customHeight="1" x14ac:dyDescent="0.25">
      <c r="D564" s="138"/>
      <c r="E564" s="138"/>
      <c r="L564" s="138"/>
      <c r="O564" s="138"/>
      <c r="R564" s="138"/>
      <c r="U564" s="138"/>
      <c r="X564" s="138"/>
    </row>
    <row r="565" spans="4:24" ht="12.75" customHeight="1" x14ac:dyDescent="0.25">
      <c r="D565" s="138"/>
      <c r="E565" s="138"/>
      <c r="L565" s="138"/>
      <c r="O565" s="138"/>
      <c r="R565" s="138"/>
      <c r="U565" s="138"/>
      <c r="X565" s="138"/>
    </row>
    <row r="566" spans="4:24" ht="12.75" customHeight="1" x14ac:dyDescent="0.25">
      <c r="D566" s="138"/>
      <c r="E566" s="138"/>
      <c r="L566" s="138"/>
      <c r="O566" s="138"/>
      <c r="R566" s="138"/>
      <c r="U566" s="138"/>
      <c r="X566" s="138"/>
    </row>
    <row r="567" spans="4:24" ht="12.75" customHeight="1" x14ac:dyDescent="0.25">
      <c r="D567" s="138"/>
      <c r="E567" s="138"/>
      <c r="L567" s="138"/>
      <c r="O567" s="138"/>
      <c r="R567" s="138"/>
      <c r="U567" s="138"/>
      <c r="X567" s="138"/>
    </row>
    <row r="568" spans="4:24" ht="12.75" customHeight="1" x14ac:dyDescent="0.25">
      <c r="D568" s="138"/>
      <c r="E568" s="138"/>
      <c r="L568" s="138"/>
      <c r="O568" s="138"/>
      <c r="R568" s="138"/>
      <c r="U568" s="138"/>
      <c r="X568" s="138"/>
    </row>
    <row r="569" spans="4:24" ht="12.75" customHeight="1" x14ac:dyDescent="0.25">
      <c r="D569" s="138"/>
      <c r="E569" s="138"/>
      <c r="L569" s="138"/>
      <c r="O569" s="138"/>
      <c r="R569" s="138"/>
      <c r="U569" s="138"/>
      <c r="X569" s="138"/>
    </row>
    <row r="570" spans="4:24" ht="12.75" customHeight="1" x14ac:dyDescent="0.25">
      <c r="D570" s="138"/>
      <c r="E570" s="138"/>
      <c r="L570" s="138"/>
      <c r="O570" s="138"/>
      <c r="R570" s="138"/>
      <c r="U570" s="138"/>
      <c r="X570" s="138"/>
    </row>
    <row r="571" spans="4:24" ht="12.75" customHeight="1" x14ac:dyDescent="0.25">
      <c r="D571" s="138"/>
      <c r="E571" s="138"/>
      <c r="L571" s="138"/>
      <c r="O571" s="138"/>
      <c r="R571" s="138"/>
      <c r="U571" s="138"/>
      <c r="X571" s="138"/>
    </row>
    <row r="572" spans="4:24" ht="12.75" customHeight="1" x14ac:dyDescent="0.25">
      <c r="D572" s="138"/>
      <c r="E572" s="138"/>
      <c r="L572" s="138"/>
      <c r="O572" s="138"/>
      <c r="R572" s="138"/>
      <c r="U572" s="138"/>
      <c r="X572" s="138"/>
    </row>
    <row r="573" spans="4:24" ht="12.75" customHeight="1" x14ac:dyDescent="0.25">
      <c r="D573" s="138"/>
      <c r="E573" s="138"/>
      <c r="L573" s="138"/>
      <c r="O573" s="138"/>
      <c r="R573" s="138"/>
      <c r="U573" s="138"/>
      <c r="X573" s="138"/>
    </row>
    <row r="574" spans="4:24" ht="12.75" customHeight="1" x14ac:dyDescent="0.25">
      <c r="D574" s="138"/>
      <c r="E574" s="138"/>
      <c r="L574" s="138"/>
      <c r="O574" s="138"/>
      <c r="R574" s="138"/>
      <c r="U574" s="138"/>
      <c r="X574" s="138"/>
    </row>
    <row r="575" spans="4:24" ht="12.75" customHeight="1" x14ac:dyDescent="0.25">
      <c r="D575" s="138"/>
      <c r="E575" s="138"/>
      <c r="L575" s="138"/>
      <c r="O575" s="138"/>
      <c r="R575" s="138"/>
      <c r="U575" s="138"/>
      <c r="X575" s="138"/>
    </row>
    <row r="576" spans="4:24" ht="12.75" customHeight="1" x14ac:dyDescent="0.25">
      <c r="D576" s="138"/>
      <c r="E576" s="138"/>
      <c r="L576" s="138"/>
      <c r="O576" s="138"/>
      <c r="R576" s="138"/>
      <c r="U576" s="138"/>
      <c r="X576" s="138"/>
    </row>
    <row r="577" spans="4:24" ht="12.75" customHeight="1" x14ac:dyDescent="0.25">
      <c r="D577" s="138"/>
      <c r="E577" s="138"/>
      <c r="L577" s="138"/>
      <c r="O577" s="138"/>
      <c r="R577" s="138"/>
      <c r="U577" s="138"/>
      <c r="X577" s="138"/>
    </row>
    <row r="578" spans="4:24" ht="12.75" customHeight="1" x14ac:dyDescent="0.25">
      <c r="D578" s="138"/>
      <c r="E578" s="138"/>
      <c r="L578" s="138"/>
      <c r="O578" s="138"/>
      <c r="R578" s="138"/>
      <c r="U578" s="138"/>
      <c r="X578" s="138"/>
    </row>
    <row r="579" spans="4:24" ht="12.75" customHeight="1" x14ac:dyDescent="0.25">
      <c r="D579" s="138"/>
      <c r="E579" s="138"/>
      <c r="L579" s="138"/>
      <c r="O579" s="138"/>
      <c r="R579" s="138"/>
      <c r="U579" s="138"/>
      <c r="X579" s="138"/>
    </row>
    <row r="580" spans="4:24" ht="12.75" customHeight="1" x14ac:dyDescent="0.25">
      <c r="D580" s="138"/>
      <c r="E580" s="138"/>
      <c r="L580" s="138"/>
      <c r="O580" s="138"/>
      <c r="R580" s="138"/>
      <c r="U580" s="138"/>
      <c r="X580" s="138"/>
    </row>
    <row r="581" spans="4:24" ht="12.75" customHeight="1" x14ac:dyDescent="0.25">
      <c r="D581" s="138"/>
      <c r="E581" s="138"/>
      <c r="L581" s="138"/>
      <c r="O581" s="138"/>
      <c r="R581" s="138"/>
      <c r="U581" s="138"/>
      <c r="X581" s="138"/>
    </row>
    <row r="582" spans="4:24" ht="12.75" customHeight="1" x14ac:dyDescent="0.25">
      <c r="D582" s="138"/>
      <c r="E582" s="138"/>
      <c r="L582" s="138"/>
      <c r="O582" s="138"/>
      <c r="R582" s="138"/>
      <c r="U582" s="138"/>
      <c r="X582" s="138"/>
    </row>
    <row r="583" spans="4:24" ht="12.75" customHeight="1" x14ac:dyDescent="0.25">
      <c r="D583" s="138"/>
      <c r="E583" s="138"/>
      <c r="L583" s="138"/>
      <c r="O583" s="138"/>
      <c r="R583" s="138"/>
      <c r="U583" s="138"/>
      <c r="X583" s="138"/>
    </row>
    <row r="584" spans="4:24" ht="12.75" customHeight="1" x14ac:dyDescent="0.25">
      <c r="D584" s="138"/>
      <c r="E584" s="138"/>
      <c r="L584" s="138"/>
      <c r="O584" s="138"/>
      <c r="R584" s="138"/>
      <c r="U584" s="138"/>
      <c r="X584" s="138"/>
    </row>
    <row r="585" spans="4:24" ht="12.75" customHeight="1" x14ac:dyDescent="0.25">
      <c r="D585" s="138"/>
      <c r="E585" s="138"/>
      <c r="L585" s="138"/>
      <c r="O585" s="138"/>
      <c r="R585" s="138"/>
      <c r="U585" s="138"/>
      <c r="X585" s="138"/>
    </row>
    <row r="586" spans="4:24" ht="12.75" customHeight="1" x14ac:dyDescent="0.25">
      <c r="D586" s="138"/>
      <c r="E586" s="138"/>
      <c r="L586" s="138"/>
      <c r="O586" s="138"/>
      <c r="R586" s="138"/>
      <c r="U586" s="138"/>
      <c r="X586" s="138"/>
    </row>
    <row r="587" spans="4:24" ht="12.75" customHeight="1" x14ac:dyDescent="0.25">
      <c r="D587" s="138"/>
      <c r="E587" s="138"/>
      <c r="L587" s="138"/>
      <c r="O587" s="138"/>
      <c r="R587" s="138"/>
      <c r="U587" s="138"/>
      <c r="X587" s="138"/>
    </row>
    <row r="588" spans="4:24" ht="12.75" customHeight="1" x14ac:dyDescent="0.25">
      <c r="D588" s="138"/>
      <c r="E588" s="138"/>
      <c r="L588" s="138"/>
      <c r="O588" s="138"/>
      <c r="R588" s="138"/>
      <c r="U588" s="138"/>
      <c r="X588" s="138"/>
    </row>
    <row r="589" spans="4:24" ht="12.75" customHeight="1" x14ac:dyDescent="0.25">
      <c r="D589" s="138"/>
      <c r="E589" s="138"/>
      <c r="L589" s="138"/>
      <c r="O589" s="138"/>
      <c r="R589" s="138"/>
      <c r="U589" s="138"/>
      <c r="X589" s="138"/>
    </row>
    <row r="590" spans="4:24" ht="12.75" customHeight="1" x14ac:dyDescent="0.25">
      <c r="D590" s="138"/>
      <c r="E590" s="138"/>
      <c r="L590" s="138"/>
      <c r="O590" s="138"/>
      <c r="R590" s="138"/>
      <c r="U590" s="138"/>
      <c r="X590" s="138"/>
    </row>
    <row r="591" spans="4:24" ht="12.75" customHeight="1" x14ac:dyDescent="0.25">
      <c r="D591" s="138"/>
      <c r="E591" s="138"/>
      <c r="L591" s="138"/>
      <c r="O591" s="138"/>
      <c r="R591" s="138"/>
      <c r="U591" s="138"/>
      <c r="X591" s="138"/>
    </row>
    <row r="592" spans="4:24" ht="12.75" customHeight="1" x14ac:dyDescent="0.25">
      <c r="D592" s="138"/>
      <c r="E592" s="138"/>
      <c r="L592" s="138"/>
      <c r="O592" s="138"/>
      <c r="R592" s="138"/>
      <c r="U592" s="138"/>
      <c r="X592" s="138"/>
    </row>
    <row r="593" spans="4:24" ht="12.75" customHeight="1" x14ac:dyDescent="0.25">
      <c r="D593" s="138"/>
      <c r="E593" s="138"/>
      <c r="L593" s="138"/>
      <c r="O593" s="138"/>
      <c r="R593" s="138"/>
      <c r="U593" s="138"/>
      <c r="X593" s="138"/>
    </row>
    <row r="594" spans="4:24" ht="12.75" customHeight="1" x14ac:dyDescent="0.25">
      <c r="D594" s="138"/>
      <c r="E594" s="138"/>
      <c r="L594" s="138"/>
      <c r="O594" s="138"/>
      <c r="R594" s="138"/>
      <c r="U594" s="138"/>
      <c r="X594" s="138"/>
    </row>
    <row r="595" spans="4:24" ht="12.75" customHeight="1" x14ac:dyDescent="0.25">
      <c r="D595" s="138"/>
      <c r="E595" s="138"/>
      <c r="L595" s="138"/>
      <c r="O595" s="138"/>
      <c r="R595" s="138"/>
      <c r="U595" s="138"/>
      <c r="X595" s="138"/>
    </row>
    <row r="596" spans="4:24" ht="12.75" customHeight="1" x14ac:dyDescent="0.25">
      <c r="D596" s="138"/>
      <c r="E596" s="138"/>
      <c r="L596" s="138"/>
      <c r="O596" s="138"/>
      <c r="R596" s="138"/>
      <c r="U596" s="138"/>
      <c r="X596" s="138"/>
    </row>
    <row r="597" spans="4:24" ht="12.75" customHeight="1" x14ac:dyDescent="0.25">
      <c r="D597" s="138"/>
      <c r="E597" s="138"/>
      <c r="L597" s="138"/>
      <c r="O597" s="138"/>
      <c r="R597" s="138"/>
      <c r="U597" s="138"/>
      <c r="X597" s="138"/>
    </row>
    <row r="598" spans="4:24" ht="12.75" customHeight="1" x14ac:dyDescent="0.25">
      <c r="D598" s="138"/>
      <c r="E598" s="138"/>
      <c r="L598" s="138"/>
      <c r="O598" s="138"/>
      <c r="R598" s="138"/>
      <c r="U598" s="138"/>
      <c r="X598" s="138"/>
    </row>
    <row r="599" spans="4:24" ht="12.75" customHeight="1" x14ac:dyDescent="0.25">
      <c r="D599" s="138"/>
      <c r="E599" s="138"/>
      <c r="L599" s="138"/>
      <c r="O599" s="138"/>
      <c r="R599" s="138"/>
      <c r="U599" s="138"/>
      <c r="X599" s="138"/>
    </row>
    <row r="600" spans="4:24" ht="12.75" customHeight="1" x14ac:dyDescent="0.25">
      <c r="D600" s="138"/>
      <c r="E600" s="138"/>
      <c r="L600" s="138"/>
      <c r="O600" s="138"/>
      <c r="R600" s="138"/>
      <c r="U600" s="138"/>
      <c r="X600" s="138"/>
    </row>
    <row r="601" spans="4:24" ht="12.75" customHeight="1" x14ac:dyDescent="0.25">
      <c r="D601" s="138"/>
      <c r="E601" s="138"/>
      <c r="L601" s="138"/>
      <c r="O601" s="138"/>
      <c r="R601" s="138"/>
      <c r="U601" s="138"/>
      <c r="X601" s="138"/>
    </row>
    <row r="602" spans="4:24" ht="12.75" customHeight="1" x14ac:dyDescent="0.25">
      <c r="D602" s="138"/>
      <c r="E602" s="138"/>
      <c r="L602" s="138"/>
      <c r="O602" s="138"/>
      <c r="R602" s="138"/>
      <c r="U602" s="138"/>
      <c r="X602" s="138"/>
    </row>
    <row r="603" spans="4:24" ht="12.75" customHeight="1" x14ac:dyDescent="0.25">
      <c r="D603" s="138"/>
      <c r="E603" s="138"/>
      <c r="L603" s="138"/>
      <c r="O603" s="138"/>
      <c r="R603" s="138"/>
      <c r="U603" s="138"/>
      <c r="X603" s="138"/>
    </row>
    <row r="604" spans="4:24" ht="12.75" customHeight="1" x14ac:dyDescent="0.25">
      <c r="D604" s="138"/>
      <c r="E604" s="138"/>
      <c r="L604" s="138"/>
      <c r="O604" s="138"/>
      <c r="R604" s="138"/>
      <c r="U604" s="138"/>
      <c r="X604" s="138"/>
    </row>
    <row r="605" spans="4:24" ht="12.75" customHeight="1" x14ac:dyDescent="0.25">
      <c r="D605" s="138"/>
      <c r="E605" s="138"/>
      <c r="L605" s="138"/>
      <c r="O605" s="138"/>
      <c r="R605" s="138"/>
      <c r="U605" s="138"/>
      <c r="X605" s="138"/>
    </row>
    <row r="606" spans="4:24" ht="12.75" customHeight="1" x14ac:dyDescent="0.25">
      <c r="D606" s="138"/>
      <c r="E606" s="138"/>
      <c r="L606" s="138"/>
      <c r="O606" s="138"/>
      <c r="R606" s="138"/>
      <c r="U606" s="138"/>
      <c r="X606" s="138"/>
    </row>
    <row r="607" spans="4:24" ht="12.75" customHeight="1" x14ac:dyDescent="0.25">
      <c r="D607" s="138"/>
      <c r="E607" s="138"/>
      <c r="L607" s="138"/>
      <c r="O607" s="138"/>
      <c r="R607" s="138"/>
      <c r="U607" s="138"/>
      <c r="X607" s="138"/>
    </row>
    <row r="608" spans="4:24" ht="12.75" customHeight="1" x14ac:dyDescent="0.25">
      <c r="D608" s="138"/>
      <c r="E608" s="138"/>
      <c r="L608" s="138"/>
      <c r="O608" s="138"/>
      <c r="R608" s="138"/>
      <c r="U608" s="138"/>
      <c r="X608" s="138"/>
    </row>
    <row r="609" spans="4:24" ht="12.75" customHeight="1" x14ac:dyDescent="0.25">
      <c r="D609" s="138"/>
      <c r="E609" s="138"/>
      <c r="L609" s="138"/>
      <c r="O609" s="138"/>
      <c r="R609" s="138"/>
      <c r="U609" s="138"/>
      <c r="X609" s="138"/>
    </row>
    <row r="610" spans="4:24" ht="12.75" customHeight="1" x14ac:dyDescent="0.25">
      <c r="D610" s="138"/>
      <c r="E610" s="138"/>
      <c r="L610" s="138"/>
      <c r="O610" s="138"/>
      <c r="R610" s="138"/>
      <c r="U610" s="138"/>
      <c r="X610" s="138"/>
    </row>
    <row r="611" spans="4:24" ht="12.75" customHeight="1" x14ac:dyDescent="0.25">
      <c r="D611" s="138"/>
      <c r="E611" s="138"/>
      <c r="L611" s="138"/>
      <c r="O611" s="138"/>
      <c r="R611" s="138"/>
      <c r="U611" s="138"/>
      <c r="X611" s="138"/>
    </row>
    <row r="612" spans="4:24" ht="12.75" customHeight="1" x14ac:dyDescent="0.25">
      <c r="D612" s="138"/>
      <c r="E612" s="138"/>
      <c r="L612" s="138"/>
      <c r="O612" s="138"/>
      <c r="R612" s="138"/>
      <c r="U612" s="138"/>
      <c r="X612" s="138"/>
    </row>
    <row r="613" spans="4:24" ht="12.75" customHeight="1" x14ac:dyDescent="0.25">
      <c r="D613" s="138"/>
      <c r="E613" s="138"/>
      <c r="L613" s="138"/>
      <c r="O613" s="138"/>
      <c r="R613" s="138"/>
      <c r="U613" s="138"/>
      <c r="X613" s="138"/>
    </row>
    <row r="614" spans="4:24" ht="12.75" customHeight="1" x14ac:dyDescent="0.25">
      <c r="D614" s="138"/>
      <c r="E614" s="138"/>
      <c r="L614" s="138"/>
      <c r="O614" s="138"/>
      <c r="R614" s="138"/>
      <c r="U614" s="138"/>
      <c r="X614" s="138"/>
    </row>
    <row r="615" spans="4:24" ht="12.75" customHeight="1" x14ac:dyDescent="0.25">
      <c r="D615" s="138"/>
      <c r="E615" s="138"/>
      <c r="L615" s="138"/>
      <c r="O615" s="138"/>
      <c r="R615" s="138"/>
      <c r="U615" s="138"/>
      <c r="X615" s="138"/>
    </row>
    <row r="616" spans="4:24" ht="12.75" customHeight="1" x14ac:dyDescent="0.25">
      <c r="D616" s="138"/>
      <c r="E616" s="138"/>
      <c r="L616" s="138"/>
      <c r="O616" s="138"/>
      <c r="R616" s="138"/>
      <c r="U616" s="138"/>
      <c r="X616" s="138"/>
    </row>
    <row r="617" spans="4:24" ht="12.75" customHeight="1" x14ac:dyDescent="0.25">
      <c r="D617" s="138"/>
      <c r="E617" s="138"/>
      <c r="L617" s="138"/>
      <c r="O617" s="138"/>
      <c r="R617" s="138"/>
      <c r="U617" s="138"/>
      <c r="X617" s="138"/>
    </row>
    <row r="618" spans="4:24" ht="12.75" customHeight="1" x14ac:dyDescent="0.25">
      <c r="D618" s="138"/>
      <c r="E618" s="138"/>
      <c r="L618" s="138"/>
      <c r="O618" s="138"/>
      <c r="R618" s="138"/>
      <c r="U618" s="138"/>
      <c r="X618" s="138"/>
    </row>
    <row r="619" spans="4:24" ht="12.75" customHeight="1" x14ac:dyDescent="0.25">
      <c r="D619" s="138"/>
      <c r="E619" s="138"/>
      <c r="L619" s="138"/>
      <c r="O619" s="138"/>
      <c r="R619" s="138"/>
      <c r="U619" s="138"/>
      <c r="X619" s="138"/>
    </row>
    <row r="620" spans="4:24" ht="12.75" customHeight="1" x14ac:dyDescent="0.25">
      <c r="D620" s="138"/>
      <c r="E620" s="138"/>
      <c r="L620" s="138"/>
      <c r="O620" s="138"/>
      <c r="R620" s="138"/>
      <c r="U620" s="138"/>
      <c r="X620" s="138"/>
    </row>
    <row r="621" spans="4:24" ht="12.75" customHeight="1" x14ac:dyDescent="0.25">
      <c r="D621" s="138"/>
      <c r="E621" s="138"/>
      <c r="L621" s="138"/>
      <c r="O621" s="138"/>
      <c r="R621" s="138"/>
      <c r="U621" s="138"/>
      <c r="X621" s="138"/>
    </row>
    <row r="622" spans="4:24" ht="12.75" customHeight="1" x14ac:dyDescent="0.25">
      <c r="D622" s="138"/>
      <c r="E622" s="138"/>
      <c r="L622" s="138"/>
      <c r="O622" s="138"/>
      <c r="R622" s="138"/>
      <c r="U622" s="138"/>
      <c r="X622" s="138"/>
    </row>
    <row r="623" spans="4:24" ht="12.75" customHeight="1" x14ac:dyDescent="0.25">
      <c r="D623" s="138"/>
      <c r="E623" s="138"/>
      <c r="L623" s="138"/>
      <c r="O623" s="138"/>
      <c r="R623" s="138"/>
      <c r="U623" s="138"/>
      <c r="X623" s="138"/>
    </row>
    <row r="624" spans="4:24" ht="12.75" customHeight="1" x14ac:dyDescent="0.25">
      <c r="D624" s="138"/>
      <c r="E624" s="138"/>
      <c r="L624" s="138"/>
      <c r="O624" s="138"/>
      <c r="R624" s="138"/>
      <c r="U624" s="138"/>
      <c r="X624" s="138"/>
    </row>
    <row r="625" spans="4:24" ht="12.75" customHeight="1" x14ac:dyDescent="0.25">
      <c r="D625" s="138"/>
      <c r="E625" s="138"/>
      <c r="L625" s="138"/>
      <c r="O625" s="138"/>
      <c r="R625" s="138"/>
      <c r="U625" s="138"/>
      <c r="X625" s="138"/>
    </row>
    <row r="626" spans="4:24" ht="12.75" customHeight="1" x14ac:dyDescent="0.25">
      <c r="D626" s="138"/>
      <c r="E626" s="138"/>
      <c r="L626" s="138"/>
      <c r="O626" s="138"/>
      <c r="R626" s="138"/>
      <c r="U626" s="138"/>
      <c r="X626" s="138"/>
    </row>
    <row r="627" spans="4:24" ht="12.75" customHeight="1" x14ac:dyDescent="0.25">
      <c r="D627" s="138"/>
      <c r="E627" s="138"/>
      <c r="L627" s="138"/>
      <c r="O627" s="138"/>
      <c r="R627" s="138"/>
      <c r="U627" s="138"/>
      <c r="X627" s="138"/>
    </row>
    <row r="628" spans="4:24" ht="12.75" customHeight="1" x14ac:dyDescent="0.25">
      <c r="D628" s="138"/>
      <c r="E628" s="138"/>
      <c r="L628" s="138"/>
      <c r="O628" s="138"/>
      <c r="R628" s="138"/>
      <c r="U628" s="138"/>
      <c r="X628" s="138"/>
    </row>
    <row r="629" spans="4:24" ht="12.75" customHeight="1" x14ac:dyDescent="0.25">
      <c r="D629" s="138"/>
      <c r="E629" s="138"/>
      <c r="L629" s="138"/>
      <c r="O629" s="138"/>
      <c r="R629" s="138"/>
      <c r="U629" s="138"/>
      <c r="X629" s="138"/>
    </row>
    <row r="630" spans="4:24" ht="12.75" customHeight="1" x14ac:dyDescent="0.25">
      <c r="D630" s="138"/>
      <c r="E630" s="138"/>
      <c r="L630" s="138"/>
      <c r="O630" s="138"/>
      <c r="R630" s="138"/>
      <c r="U630" s="138"/>
      <c r="X630" s="138"/>
    </row>
    <row r="631" spans="4:24" ht="12.75" customHeight="1" x14ac:dyDescent="0.25">
      <c r="D631" s="138"/>
      <c r="E631" s="138"/>
      <c r="L631" s="138"/>
      <c r="O631" s="138"/>
      <c r="R631" s="138"/>
      <c r="U631" s="138"/>
      <c r="X631" s="138"/>
    </row>
    <row r="632" spans="4:24" ht="12.75" customHeight="1" x14ac:dyDescent="0.25">
      <c r="D632" s="138"/>
      <c r="E632" s="138"/>
      <c r="L632" s="138"/>
      <c r="O632" s="138"/>
      <c r="R632" s="138"/>
      <c r="U632" s="138"/>
      <c r="X632" s="138"/>
    </row>
    <row r="633" spans="4:24" ht="12.75" customHeight="1" x14ac:dyDescent="0.25">
      <c r="D633" s="138"/>
      <c r="E633" s="138"/>
      <c r="L633" s="138"/>
      <c r="O633" s="138"/>
      <c r="R633" s="138"/>
      <c r="U633" s="138"/>
      <c r="X633" s="138"/>
    </row>
    <row r="634" spans="4:24" ht="12.75" customHeight="1" x14ac:dyDescent="0.25">
      <c r="D634" s="138"/>
      <c r="E634" s="138"/>
      <c r="L634" s="138"/>
      <c r="O634" s="138"/>
      <c r="R634" s="138"/>
      <c r="U634" s="138"/>
      <c r="X634" s="138"/>
    </row>
    <row r="635" spans="4:24" ht="12.75" customHeight="1" x14ac:dyDescent="0.25">
      <c r="D635" s="138"/>
      <c r="E635" s="138"/>
      <c r="L635" s="138"/>
      <c r="O635" s="138"/>
      <c r="R635" s="138"/>
      <c r="U635" s="138"/>
      <c r="X635" s="138"/>
    </row>
    <row r="636" spans="4:24" ht="12.75" customHeight="1" x14ac:dyDescent="0.25">
      <c r="D636" s="138"/>
      <c r="E636" s="138"/>
      <c r="L636" s="138"/>
      <c r="O636" s="138"/>
      <c r="R636" s="138"/>
      <c r="U636" s="138"/>
      <c r="X636" s="138"/>
    </row>
    <row r="637" spans="4:24" ht="12.75" customHeight="1" x14ac:dyDescent="0.25">
      <c r="D637" s="138"/>
      <c r="E637" s="138"/>
      <c r="L637" s="138"/>
      <c r="O637" s="138"/>
      <c r="R637" s="138"/>
      <c r="U637" s="138"/>
      <c r="X637" s="138"/>
    </row>
    <row r="638" spans="4:24" ht="12.75" customHeight="1" x14ac:dyDescent="0.25">
      <c r="D638" s="138"/>
      <c r="E638" s="138"/>
      <c r="L638" s="138"/>
      <c r="O638" s="138"/>
      <c r="R638" s="138"/>
      <c r="U638" s="138"/>
      <c r="X638" s="138"/>
    </row>
    <row r="639" spans="4:24" ht="12.75" customHeight="1" x14ac:dyDescent="0.25">
      <c r="D639" s="138"/>
      <c r="E639" s="138"/>
      <c r="L639" s="138"/>
      <c r="O639" s="138"/>
      <c r="R639" s="138"/>
      <c r="U639" s="138"/>
      <c r="X639" s="138"/>
    </row>
    <row r="640" spans="4:24" ht="12.75" customHeight="1" x14ac:dyDescent="0.25">
      <c r="D640" s="138"/>
      <c r="E640" s="138"/>
      <c r="L640" s="138"/>
      <c r="O640" s="138"/>
      <c r="R640" s="138"/>
      <c r="U640" s="138"/>
      <c r="X640" s="138"/>
    </row>
    <row r="641" spans="4:24" ht="12.75" customHeight="1" x14ac:dyDescent="0.25">
      <c r="D641" s="138"/>
      <c r="E641" s="138"/>
      <c r="L641" s="138"/>
      <c r="O641" s="138"/>
      <c r="R641" s="138"/>
      <c r="U641" s="138"/>
      <c r="X641" s="138"/>
    </row>
    <row r="642" spans="4:24" ht="12.75" customHeight="1" x14ac:dyDescent="0.25">
      <c r="D642" s="138"/>
      <c r="E642" s="138"/>
      <c r="L642" s="138"/>
      <c r="O642" s="138"/>
      <c r="R642" s="138"/>
      <c r="U642" s="138"/>
      <c r="X642" s="138"/>
    </row>
    <row r="643" spans="4:24" ht="12.75" customHeight="1" x14ac:dyDescent="0.25">
      <c r="D643" s="138"/>
      <c r="E643" s="138"/>
      <c r="L643" s="138"/>
      <c r="O643" s="138"/>
      <c r="R643" s="138"/>
      <c r="U643" s="138"/>
      <c r="X643" s="138"/>
    </row>
    <row r="644" spans="4:24" ht="12.75" customHeight="1" x14ac:dyDescent="0.25">
      <c r="D644" s="138"/>
      <c r="E644" s="138"/>
      <c r="L644" s="138"/>
      <c r="O644" s="138"/>
      <c r="R644" s="138"/>
      <c r="U644" s="138"/>
      <c r="X644" s="138"/>
    </row>
    <row r="645" spans="4:24" ht="12.75" customHeight="1" x14ac:dyDescent="0.25">
      <c r="D645" s="138"/>
      <c r="E645" s="138"/>
      <c r="L645" s="138"/>
      <c r="O645" s="138"/>
      <c r="R645" s="138"/>
      <c r="U645" s="138"/>
      <c r="X645" s="138"/>
    </row>
    <row r="646" spans="4:24" ht="12.75" customHeight="1" x14ac:dyDescent="0.25">
      <c r="D646" s="138"/>
      <c r="E646" s="138"/>
      <c r="L646" s="138"/>
      <c r="O646" s="138"/>
      <c r="R646" s="138"/>
      <c r="U646" s="138"/>
      <c r="X646" s="138"/>
    </row>
    <row r="647" spans="4:24" ht="12.75" customHeight="1" x14ac:dyDescent="0.25">
      <c r="D647" s="138"/>
      <c r="E647" s="138"/>
      <c r="L647" s="138"/>
      <c r="O647" s="138"/>
      <c r="R647" s="138"/>
      <c r="U647" s="138"/>
      <c r="X647" s="138"/>
    </row>
    <row r="648" spans="4:24" ht="12.75" customHeight="1" x14ac:dyDescent="0.25">
      <c r="D648" s="138"/>
      <c r="E648" s="138"/>
      <c r="L648" s="138"/>
      <c r="O648" s="138"/>
      <c r="R648" s="138"/>
      <c r="U648" s="138"/>
      <c r="X648" s="138"/>
    </row>
    <row r="649" spans="4:24" ht="12.75" customHeight="1" x14ac:dyDescent="0.25">
      <c r="D649" s="138"/>
      <c r="E649" s="138"/>
      <c r="L649" s="138"/>
      <c r="O649" s="138"/>
      <c r="R649" s="138"/>
      <c r="U649" s="138"/>
      <c r="X649" s="138"/>
    </row>
    <row r="650" spans="4:24" ht="12.75" customHeight="1" x14ac:dyDescent="0.25">
      <c r="D650" s="138"/>
      <c r="E650" s="138"/>
      <c r="L650" s="138"/>
      <c r="O650" s="138"/>
      <c r="R650" s="138"/>
      <c r="U650" s="138"/>
      <c r="X650" s="138"/>
    </row>
    <row r="651" spans="4:24" ht="12.75" customHeight="1" x14ac:dyDescent="0.25">
      <c r="D651" s="138"/>
      <c r="E651" s="138"/>
      <c r="L651" s="138"/>
      <c r="O651" s="138"/>
      <c r="R651" s="138"/>
      <c r="U651" s="138"/>
      <c r="X651" s="138"/>
    </row>
    <row r="652" spans="4:24" ht="12.75" customHeight="1" x14ac:dyDescent="0.25">
      <c r="D652" s="138"/>
      <c r="E652" s="138"/>
      <c r="L652" s="138"/>
      <c r="O652" s="138"/>
      <c r="R652" s="138"/>
      <c r="U652" s="138"/>
      <c r="X652" s="138"/>
    </row>
    <row r="653" spans="4:24" ht="12.75" customHeight="1" x14ac:dyDescent="0.25">
      <c r="D653" s="138"/>
      <c r="E653" s="138"/>
      <c r="L653" s="138"/>
      <c r="O653" s="138"/>
      <c r="R653" s="138"/>
      <c r="U653" s="138"/>
      <c r="X653" s="138"/>
    </row>
    <row r="654" spans="4:24" ht="12.75" customHeight="1" x14ac:dyDescent="0.25">
      <c r="D654" s="138"/>
      <c r="E654" s="138"/>
      <c r="L654" s="138"/>
      <c r="O654" s="138"/>
      <c r="R654" s="138"/>
      <c r="U654" s="138"/>
      <c r="X654" s="138"/>
    </row>
    <row r="655" spans="4:24" ht="12.75" customHeight="1" x14ac:dyDescent="0.25">
      <c r="D655" s="138"/>
      <c r="E655" s="138"/>
      <c r="L655" s="138"/>
      <c r="O655" s="138"/>
      <c r="R655" s="138"/>
      <c r="U655" s="138"/>
      <c r="X655" s="138"/>
    </row>
    <row r="656" spans="4:24" ht="12.75" customHeight="1" x14ac:dyDescent="0.25">
      <c r="D656" s="138"/>
      <c r="E656" s="138"/>
      <c r="L656" s="138"/>
      <c r="O656" s="138"/>
      <c r="R656" s="138"/>
      <c r="U656" s="138"/>
      <c r="X656" s="138"/>
    </row>
    <row r="657" spans="4:24" ht="12.75" customHeight="1" x14ac:dyDescent="0.25">
      <c r="D657" s="138"/>
      <c r="E657" s="138"/>
      <c r="L657" s="138"/>
      <c r="O657" s="138"/>
      <c r="R657" s="138"/>
      <c r="U657" s="138"/>
      <c r="X657" s="138"/>
    </row>
    <row r="658" spans="4:24" ht="12.75" customHeight="1" x14ac:dyDescent="0.25">
      <c r="D658" s="138"/>
      <c r="E658" s="138"/>
      <c r="L658" s="138"/>
      <c r="O658" s="138"/>
      <c r="R658" s="138"/>
      <c r="U658" s="138"/>
      <c r="X658" s="138"/>
    </row>
    <row r="659" spans="4:24" ht="12.75" customHeight="1" x14ac:dyDescent="0.25">
      <c r="D659" s="138"/>
      <c r="E659" s="138"/>
      <c r="L659" s="138"/>
      <c r="O659" s="138"/>
      <c r="R659" s="138"/>
      <c r="U659" s="138"/>
      <c r="X659" s="138"/>
    </row>
    <row r="660" spans="4:24" ht="12.75" customHeight="1" x14ac:dyDescent="0.25">
      <c r="D660" s="138"/>
      <c r="E660" s="138"/>
      <c r="L660" s="138"/>
      <c r="O660" s="138"/>
      <c r="R660" s="138"/>
      <c r="U660" s="138"/>
      <c r="X660" s="138"/>
    </row>
    <row r="661" spans="4:24" ht="12.75" customHeight="1" x14ac:dyDescent="0.25">
      <c r="D661" s="138"/>
      <c r="E661" s="138"/>
      <c r="L661" s="138"/>
      <c r="O661" s="138"/>
      <c r="R661" s="138"/>
      <c r="U661" s="138"/>
      <c r="X661" s="138"/>
    </row>
    <row r="662" spans="4:24" ht="12.75" customHeight="1" x14ac:dyDescent="0.25">
      <c r="D662" s="138"/>
      <c r="E662" s="138"/>
      <c r="L662" s="138"/>
      <c r="O662" s="138"/>
      <c r="R662" s="138"/>
      <c r="U662" s="138"/>
      <c r="X662" s="138"/>
    </row>
    <row r="663" spans="4:24" ht="12.75" customHeight="1" x14ac:dyDescent="0.25">
      <c r="D663" s="138"/>
      <c r="E663" s="138"/>
      <c r="L663" s="138"/>
      <c r="O663" s="138"/>
      <c r="R663" s="138"/>
      <c r="U663" s="138"/>
      <c r="X663" s="138"/>
    </row>
    <row r="664" spans="4:24" ht="12.75" customHeight="1" x14ac:dyDescent="0.25">
      <c r="D664" s="138"/>
      <c r="E664" s="138"/>
      <c r="L664" s="138"/>
      <c r="O664" s="138"/>
      <c r="R664" s="138"/>
      <c r="U664" s="138"/>
      <c r="X664" s="138"/>
    </row>
    <row r="665" spans="4:24" ht="12.75" customHeight="1" x14ac:dyDescent="0.25">
      <c r="D665" s="138"/>
      <c r="E665" s="138"/>
      <c r="L665" s="138"/>
      <c r="O665" s="138"/>
      <c r="R665" s="138"/>
      <c r="U665" s="138"/>
      <c r="X665" s="138"/>
    </row>
    <row r="666" spans="4:24" ht="12.75" customHeight="1" x14ac:dyDescent="0.25">
      <c r="D666" s="138"/>
      <c r="E666" s="138"/>
      <c r="L666" s="138"/>
      <c r="O666" s="138"/>
      <c r="R666" s="138"/>
      <c r="U666" s="138"/>
      <c r="X666" s="138"/>
    </row>
    <row r="667" spans="4:24" ht="12.75" customHeight="1" x14ac:dyDescent="0.25">
      <c r="D667" s="138"/>
      <c r="E667" s="138"/>
      <c r="L667" s="138"/>
      <c r="O667" s="138"/>
      <c r="R667" s="138"/>
      <c r="U667" s="138"/>
      <c r="X667" s="138"/>
    </row>
    <row r="668" spans="4:24" ht="12.75" customHeight="1" x14ac:dyDescent="0.25">
      <c r="D668" s="138"/>
      <c r="E668" s="138"/>
      <c r="L668" s="138"/>
      <c r="O668" s="138"/>
      <c r="R668" s="138"/>
      <c r="U668" s="138"/>
      <c r="X668" s="138"/>
    </row>
    <row r="669" spans="4:24" ht="12.75" customHeight="1" x14ac:dyDescent="0.25">
      <c r="D669" s="138"/>
      <c r="E669" s="138"/>
      <c r="L669" s="138"/>
      <c r="O669" s="138"/>
      <c r="R669" s="138"/>
      <c r="U669" s="138"/>
      <c r="X669" s="138"/>
    </row>
    <row r="670" spans="4:24" ht="12.75" customHeight="1" x14ac:dyDescent="0.25">
      <c r="D670" s="138"/>
      <c r="E670" s="138"/>
      <c r="L670" s="138"/>
      <c r="O670" s="138"/>
      <c r="R670" s="138"/>
      <c r="U670" s="138"/>
      <c r="X670" s="138"/>
    </row>
    <row r="671" spans="4:24" ht="12.75" customHeight="1" x14ac:dyDescent="0.25">
      <c r="D671" s="138"/>
      <c r="E671" s="138"/>
      <c r="L671" s="138"/>
      <c r="O671" s="138"/>
      <c r="R671" s="138"/>
      <c r="U671" s="138"/>
      <c r="X671" s="138"/>
    </row>
    <row r="672" spans="4:24" ht="12.75" customHeight="1" x14ac:dyDescent="0.25">
      <c r="D672" s="138"/>
      <c r="E672" s="138"/>
      <c r="L672" s="138"/>
      <c r="O672" s="138"/>
      <c r="R672" s="138"/>
      <c r="U672" s="138"/>
      <c r="X672" s="138"/>
    </row>
    <row r="673" spans="4:24" ht="12.75" customHeight="1" x14ac:dyDescent="0.25">
      <c r="D673" s="138"/>
      <c r="E673" s="138"/>
      <c r="L673" s="138"/>
      <c r="O673" s="138"/>
      <c r="R673" s="138"/>
      <c r="U673" s="138"/>
      <c r="X673" s="138"/>
    </row>
    <row r="674" spans="4:24" ht="12.75" customHeight="1" x14ac:dyDescent="0.25">
      <c r="D674" s="138"/>
      <c r="E674" s="138"/>
      <c r="L674" s="138"/>
      <c r="O674" s="138"/>
      <c r="R674" s="138"/>
      <c r="U674" s="138"/>
      <c r="X674" s="138"/>
    </row>
    <row r="675" spans="4:24" ht="12.75" customHeight="1" x14ac:dyDescent="0.25">
      <c r="D675" s="138"/>
      <c r="E675" s="138"/>
      <c r="L675" s="138"/>
      <c r="O675" s="138"/>
      <c r="R675" s="138"/>
      <c r="U675" s="138"/>
      <c r="X675" s="138"/>
    </row>
    <row r="676" spans="4:24" ht="12.75" customHeight="1" x14ac:dyDescent="0.25">
      <c r="D676" s="138"/>
      <c r="E676" s="138"/>
      <c r="L676" s="138"/>
      <c r="O676" s="138"/>
      <c r="R676" s="138"/>
      <c r="U676" s="138"/>
      <c r="X676" s="138"/>
    </row>
    <row r="677" spans="4:24" ht="12.75" customHeight="1" x14ac:dyDescent="0.25">
      <c r="D677" s="138"/>
      <c r="E677" s="138"/>
      <c r="L677" s="138"/>
      <c r="O677" s="138"/>
      <c r="R677" s="138"/>
      <c r="U677" s="138"/>
      <c r="X677" s="138"/>
    </row>
    <row r="678" spans="4:24" ht="12.75" customHeight="1" x14ac:dyDescent="0.25">
      <c r="D678" s="138"/>
      <c r="E678" s="138"/>
      <c r="L678" s="138"/>
      <c r="O678" s="138"/>
      <c r="R678" s="138"/>
      <c r="U678" s="138"/>
      <c r="X678" s="138"/>
    </row>
    <row r="679" spans="4:24" ht="12.75" customHeight="1" x14ac:dyDescent="0.25">
      <c r="D679" s="138"/>
      <c r="E679" s="138"/>
      <c r="L679" s="138"/>
      <c r="O679" s="138"/>
      <c r="R679" s="138"/>
      <c r="U679" s="138"/>
      <c r="X679" s="138"/>
    </row>
    <row r="680" spans="4:24" ht="12.75" customHeight="1" x14ac:dyDescent="0.25">
      <c r="D680" s="138"/>
      <c r="E680" s="138"/>
      <c r="L680" s="138"/>
      <c r="O680" s="138"/>
      <c r="R680" s="138"/>
      <c r="U680" s="138"/>
      <c r="X680" s="138"/>
    </row>
    <row r="681" spans="4:24" ht="12.75" customHeight="1" x14ac:dyDescent="0.25">
      <c r="D681" s="138"/>
      <c r="E681" s="138"/>
      <c r="L681" s="138"/>
      <c r="O681" s="138"/>
      <c r="R681" s="138"/>
      <c r="U681" s="138"/>
      <c r="X681" s="138"/>
    </row>
    <row r="682" spans="4:24" ht="12.75" customHeight="1" x14ac:dyDescent="0.25">
      <c r="D682" s="138"/>
      <c r="E682" s="138"/>
      <c r="L682" s="138"/>
      <c r="O682" s="138"/>
      <c r="R682" s="138"/>
      <c r="U682" s="138"/>
      <c r="X682" s="138"/>
    </row>
    <row r="683" spans="4:24" ht="12.75" customHeight="1" x14ac:dyDescent="0.25">
      <c r="D683" s="138"/>
      <c r="E683" s="138"/>
      <c r="L683" s="138"/>
      <c r="O683" s="138"/>
      <c r="R683" s="138"/>
      <c r="U683" s="138"/>
      <c r="X683" s="138"/>
    </row>
    <row r="684" spans="4:24" ht="12.75" customHeight="1" x14ac:dyDescent="0.25">
      <c r="D684" s="138"/>
      <c r="E684" s="138"/>
      <c r="L684" s="138"/>
      <c r="O684" s="138"/>
      <c r="R684" s="138"/>
      <c r="U684" s="138"/>
      <c r="X684" s="138"/>
    </row>
    <row r="685" spans="4:24" ht="12.75" customHeight="1" x14ac:dyDescent="0.25">
      <c r="D685" s="138"/>
      <c r="E685" s="138"/>
      <c r="L685" s="138"/>
      <c r="O685" s="138"/>
      <c r="R685" s="138"/>
      <c r="U685" s="138"/>
      <c r="X685" s="138"/>
    </row>
    <row r="686" spans="4:24" ht="12.75" customHeight="1" x14ac:dyDescent="0.25">
      <c r="D686" s="138"/>
      <c r="E686" s="138"/>
      <c r="L686" s="138"/>
      <c r="O686" s="138"/>
      <c r="R686" s="138"/>
      <c r="U686" s="138"/>
      <c r="X686" s="138"/>
    </row>
    <row r="687" spans="4:24" ht="12.75" customHeight="1" x14ac:dyDescent="0.25">
      <c r="D687" s="138"/>
      <c r="E687" s="138"/>
      <c r="L687" s="138"/>
      <c r="O687" s="138"/>
      <c r="R687" s="138"/>
      <c r="U687" s="138"/>
      <c r="X687" s="138"/>
    </row>
    <row r="688" spans="4:24" ht="12.75" customHeight="1" x14ac:dyDescent="0.25">
      <c r="D688" s="138"/>
      <c r="E688" s="138"/>
      <c r="L688" s="138"/>
      <c r="O688" s="138"/>
      <c r="R688" s="138"/>
      <c r="U688" s="138"/>
      <c r="X688" s="138"/>
    </row>
    <row r="689" spans="4:24" ht="12.75" customHeight="1" x14ac:dyDescent="0.25">
      <c r="D689" s="138"/>
      <c r="E689" s="138"/>
      <c r="L689" s="138"/>
      <c r="O689" s="138"/>
      <c r="R689" s="138"/>
      <c r="U689" s="138"/>
      <c r="X689" s="138"/>
    </row>
    <row r="690" spans="4:24" ht="12.75" customHeight="1" x14ac:dyDescent="0.25">
      <c r="D690" s="138"/>
      <c r="E690" s="138"/>
      <c r="L690" s="138"/>
      <c r="O690" s="138"/>
      <c r="R690" s="138"/>
      <c r="U690" s="138"/>
      <c r="X690" s="138"/>
    </row>
    <row r="691" spans="4:24" ht="12.75" customHeight="1" x14ac:dyDescent="0.25">
      <c r="D691" s="138"/>
      <c r="E691" s="138"/>
      <c r="L691" s="138"/>
      <c r="O691" s="138"/>
      <c r="R691" s="138"/>
      <c r="U691" s="138"/>
      <c r="X691" s="138"/>
    </row>
    <row r="692" spans="4:24" ht="12.75" customHeight="1" x14ac:dyDescent="0.25">
      <c r="D692" s="138"/>
      <c r="E692" s="138"/>
      <c r="L692" s="138"/>
      <c r="O692" s="138"/>
      <c r="R692" s="138"/>
      <c r="U692" s="138"/>
      <c r="X692" s="138"/>
    </row>
    <row r="693" spans="4:24" ht="12.75" customHeight="1" x14ac:dyDescent="0.25">
      <c r="D693" s="138"/>
      <c r="E693" s="138"/>
      <c r="L693" s="138"/>
      <c r="O693" s="138"/>
      <c r="R693" s="138"/>
      <c r="U693" s="138"/>
      <c r="X693" s="138"/>
    </row>
    <row r="694" spans="4:24" ht="12.75" customHeight="1" x14ac:dyDescent="0.25">
      <c r="D694" s="138"/>
      <c r="E694" s="138"/>
      <c r="L694" s="138"/>
      <c r="O694" s="138"/>
      <c r="R694" s="138"/>
      <c r="U694" s="138"/>
      <c r="X694" s="138"/>
    </row>
    <row r="695" spans="4:24" ht="12.75" customHeight="1" x14ac:dyDescent="0.25">
      <c r="D695" s="138"/>
      <c r="E695" s="138"/>
      <c r="L695" s="138"/>
      <c r="O695" s="138"/>
      <c r="R695" s="138"/>
      <c r="U695" s="138"/>
      <c r="X695" s="138"/>
    </row>
    <row r="696" spans="4:24" ht="12.75" customHeight="1" x14ac:dyDescent="0.25">
      <c r="D696" s="138"/>
      <c r="E696" s="138"/>
      <c r="L696" s="138"/>
      <c r="O696" s="138"/>
      <c r="R696" s="138"/>
      <c r="U696" s="138"/>
      <c r="X696" s="138"/>
    </row>
    <row r="697" spans="4:24" ht="12.75" customHeight="1" x14ac:dyDescent="0.25">
      <c r="D697" s="138"/>
      <c r="E697" s="138"/>
      <c r="L697" s="138"/>
      <c r="O697" s="138"/>
      <c r="R697" s="138"/>
      <c r="U697" s="138"/>
      <c r="X697" s="138"/>
    </row>
    <row r="698" spans="4:24" ht="12.75" customHeight="1" x14ac:dyDescent="0.25">
      <c r="D698" s="138"/>
      <c r="E698" s="138"/>
      <c r="L698" s="138"/>
      <c r="O698" s="138"/>
      <c r="R698" s="138"/>
      <c r="U698" s="138"/>
      <c r="X698" s="138"/>
    </row>
    <row r="699" spans="4:24" ht="12.75" customHeight="1" x14ac:dyDescent="0.25">
      <c r="D699" s="138"/>
      <c r="E699" s="138"/>
      <c r="L699" s="138"/>
      <c r="O699" s="138"/>
      <c r="R699" s="138"/>
      <c r="U699" s="138"/>
      <c r="X699" s="138"/>
    </row>
    <row r="700" spans="4:24" ht="12.75" customHeight="1" x14ac:dyDescent="0.25">
      <c r="D700" s="138"/>
      <c r="E700" s="138"/>
      <c r="L700" s="138"/>
      <c r="O700" s="138"/>
      <c r="R700" s="138"/>
      <c r="U700" s="138"/>
      <c r="X700" s="138"/>
    </row>
    <row r="701" spans="4:24" ht="12.75" customHeight="1" x14ac:dyDescent="0.25">
      <c r="D701" s="138"/>
      <c r="E701" s="138"/>
      <c r="L701" s="138"/>
      <c r="O701" s="138"/>
      <c r="R701" s="138"/>
      <c r="U701" s="138"/>
      <c r="X701" s="138"/>
    </row>
    <row r="702" spans="4:24" ht="12.75" customHeight="1" x14ac:dyDescent="0.25">
      <c r="D702" s="138"/>
      <c r="E702" s="138"/>
      <c r="L702" s="138"/>
      <c r="O702" s="138"/>
      <c r="R702" s="138"/>
      <c r="U702" s="138"/>
      <c r="X702" s="138"/>
    </row>
    <row r="703" spans="4:24" ht="12.75" customHeight="1" x14ac:dyDescent="0.25">
      <c r="D703" s="138"/>
      <c r="E703" s="138"/>
      <c r="L703" s="138"/>
      <c r="O703" s="138"/>
      <c r="R703" s="138"/>
      <c r="U703" s="138"/>
      <c r="X703" s="138"/>
    </row>
    <row r="704" spans="4:24" ht="12.75" customHeight="1" x14ac:dyDescent="0.25">
      <c r="D704" s="138"/>
      <c r="E704" s="138"/>
      <c r="L704" s="138"/>
      <c r="O704" s="138"/>
      <c r="R704" s="138"/>
      <c r="U704" s="138"/>
      <c r="X704" s="138"/>
    </row>
    <row r="705" spans="4:24" ht="12.75" customHeight="1" x14ac:dyDescent="0.25">
      <c r="D705" s="138"/>
      <c r="E705" s="138"/>
      <c r="L705" s="138"/>
      <c r="O705" s="138"/>
      <c r="R705" s="138"/>
      <c r="U705" s="138"/>
      <c r="X705" s="138"/>
    </row>
    <row r="706" spans="4:24" ht="12.75" customHeight="1" x14ac:dyDescent="0.25">
      <c r="D706" s="138"/>
      <c r="E706" s="138"/>
      <c r="L706" s="138"/>
      <c r="O706" s="138"/>
      <c r="R706" s="138"/>
      <c r="U706" s="138"/>
      <c r="X706" s="138"/>
    </row>
    <row r="707" spans="4:24" ht="12.75" customHeight="1" x14ac:dyDescent="0.25">
      <c r="D707" s="138"/>
      <c r="E707" s="138"/>
      <c r="L707" s="138"/>
      <c r="O707" s="138"/>
      <c r="R707" s="138"/>
      <c r="U707" s="138"/>
      <c r="X707" s="138"/>
    </row>
    <row r="708" spans="4:24" ht="12.75" customHeight="1" x14ac:dyDescent="0.25">
      <c r="D708" s="138"/>
      <c r="E708" s="138"/>
      <c r="L708" s="138"/>
      <c r="O708" s="138"/>
      <c r="R708" s="138"/>
      <c r="U708" s="138"/>
      <c r="X708" s="138"/>
    </row>
    <row r="709" spans="4:24" ht="12.75" customHeight="1" x14ac:dyDescent="0.25">
      <c r="D709" s="138"/>
      <c r="E709" s="138"/>
      <c r="L709" s="138"/>
      <c r="O709" s="138"/>
      <c r="R709" s="138"/>
      <c r="U709" s="138"/>
      <c r="X709" s="138"/>
    </row>
    <row r="710" spans="4:24" ht="12.75" customHeight="1" x14ac:dyDescent="0.25">
      <c r="D710" s="138"/>
      <c r="E710" s="138"/>
      <c r="L710" s="138"/>
      <c r="O710" s="138"/>
      <c r="R710" s="138"/>
      <c r="U710" s="138"/>
      <c r="X710" s="138"/>
    </row>
    <row r="711" spans="4:24" ht="12.75" customHeight="1" x14ac:dyDescent="0.25">
      <c r="D711" s="138"/>
      <c r="E711" s="138"/>
      <c r="L711" s="138"/>
      <c r="O711" s="138"/>
      <c r="R711" s="138"/>
      <c r="U711" s="138"/>
      <c r="X711" s="138"/>
    </row>
    <row r="712" spans="4:24" ht="12.75" customHeight="1" x14ac:dyDescent="0.25">
      <c r="D712" s="138"/>
      <c r="E712" s="138"/>
      <c r="L712" s="138"/>
      <c r="O712" s="138"/>
      <c r="R712" s="138"/>
      <c r="U712" s="138"/>
      <c r="X712" s="138"/>
    </row>
    <row r="713" spans="4:24" ht="12.75" customHeight="1" x14ac:dyDescent="0.25">
      <c r="D713" s="138"/>
      <c r="E713" s="138"/>
      <c r="L713" s="138"/>
      <c r="O713" s="138"/>
      <c r="R713" s="138"/>
      <c r="U713" s="138"/>
      <c r="X713" s="138"/>
    </row>
    <row r="714" spans="4:24" ht="12.75" customHeight="1" x14ac:dyDescent="0.25">
      <c r="D714" s="138"/>
      <c r="E714" s="138"/>
      <c r="L714" s="138"/>
      <c r="O714" s="138"/>
      <c r="R714" s="138"/>
      <c r="U714" s="138"/>
      <c r="X714" s="138"/>
    </row>
    <row r="715" spans="4:24" ht="12.75" customHeight="1" x14ac:dyDescent="0.25">
      <c r="D715" s="138"/>
      <c r="E715" s="138"/>
      <c r="L715" s="138"/>
      <c r="O715" s="138"/>
      <c r="R715" s="138"/>
      <c r="U715" s="138"/>
      <c r="X715" s="138"/>
    </row>
    <row r="716" spans="4:24" ht="12.75" customHeight="1" x14ac:dyDescent="0.25">
      <c r="D716" s="138"/>
      <c r="E716" s="138"/>
      <c r="L716" s="138"/>
      <c r="O716" s="138"/>
      <c r="R716" s="138"/>
      <c r="U716" s="138"/>
      <c r="X716" s="138"/>
    </row>
    <row r="717" spans="4:24" ht="12.75" customHeight="1" x14ac:dyDescent="0.25">
      <c r="D717" s="138"/>
      <c r="E717" s="138"/>
      <c r="L717" s="138"/>
      <c r="O717" s="138"/>
      <c r="R717" s="138"/>
      <c r="U717" s="138"/>
      <c r="X717" s="138"/>
    </row>
    <row r="718" spans="4:24" ht="12.75" customHeight="1" x14ac:dyDescent="0.25">
      <c r="D718" s="138"/>
      <c r="E718" s="138"/>
      <c r="L718" s="138"/>
      <c r="O718" s="138"/>
      <c r="R718" s="138"/>
      <c r="U718" s="138"/>
      <c r="X718" s="138"/>
    </row>
    <row r="719" spans="4:24" ht="12.75" customHeight="1" x14ac:dyDescent="0.25">
      <c r="D719" s="138"/>
      <c r="E719" s="138"/>
      <c r="L719" s="138"/>
      <c r="O719" s="138"/>
      <c r="R719" s="138"/>
      <c r="U719" s="138"/>
      <c r="X719" s="138"/>
    </row>
    <row r="720" spans="4:24" ht="12.75" customHeight="1" x14ac:dyDescent="0.25">
      <c r="D720" s="138"/>
      <c r="E720" s="138"/>
      <c r="L720" s="138"/>
      <c r="O720" s="138"/>
      <c r="R720" s="138"/>
      <c r="U720" s="138"/>
      <c r="X720" s="138"/>
    </row>
    <row r="721" spans="4:24" ht="12.75" customHeight="1" x14ac:dyDescent="0.25">
      <c r="D721" s="138"/>
      <c r="E721" s="138"/>
      <c r="L721" s="138"/>
      <c r="O721" s="138"/>
      <c r="R721" s="138"/>
      <c r="U721" s="138"/>
      <c r="X721" s="138"/>
    </row>
    <row r="722" spans="4:24" ht="12.75" customHeight="1" x14ac:dyDescent="0.25">
      <c r="D722" s="138"/>
      <c r="E722" s="138"/>
      <c r="L722" s="138"/>
      <c r="O722" s="138"/>
      <c r="R722" s="138"/>
      <c r="U722" s="138"/>
      <c r="X722" s="138"/>
    </row>
    <row r="723" spans="4:24" ht="12.75" customHeight="1" x14ac:dyDescent="0.25">
      <c r="D723" s="138"/>
      <c r="E723" s="138"/>
      <c r="L723" s="138"/>
      <c r="O723" s="138"/>
      <c r="R723" s="138"/>
      <c r="U723" s="138"/>
      <c r="X723" s="138"/>
    </row>
    <row r="724" spans="4:24" ht="12.75" customHeight="1" x14ac:dyDescent="0.25">
      <c r="D724" s="138"/>
      <c r="E724" s="138"/>
      <c r="L724" s="138"/>
      <c r="O724" s="138"/>
      <c r="R724" s="138"/>
      <c r="U724" s="138"/>
      <c r="X724" s="138"/>
    </row>
    <row r="725" spans="4:24" ht="12.75" customHeight="1" x14ac:dyDescent="0.25">
      <c r="D725" s="138"/>
      <c r="E725" s="138"/>
      <c r="L725" s="138"/>
      <c r="O725" s="138"/>
      <c r="R725" s="138"/>
      <c r="U725" s="138"/>
      <c r="X725" s="138"/>
    </row>
    <row r="726" spans="4:24" ht="12.75" customHeight="1" x14ac:dyDescent="0.25">
      <c r="D726" s="138"/>
      <c r="E726" s="138"/>
      <c r="L726" s="138"/>
      <c r="O726" s="138"/>
      <c r="R726" s="138"/>
      <c r="U726" s="138"/>
      <c r="X726" s="138"/>
    </row>
    <row r="727" spans="4:24" ht="12.75" customHeight="1" x14ac:dyDescent="0.25">
      <c r="D727" s="138"/>
      <c r="E727" s="138"/>
      <c r="L727" s="138"/>
      <c r="O727" s="138"/>
      <c r="R727" s="138"/>
      <c r="U727" s="138"/>
      <c r="X727" s="138"/>
    </row>
    <row r="728" spans="4:24" ht="12.75" customHeight="1" x14ac:dyDescent="0.25">
      <c r="D728" s="138"/>
      <c r="E728" s="138"/>
      <c r="L728" s="138"/>
      <c r="O728" s="138"/>
      <c r="R728" s="138"/>
      <c r="U728" s="138"/>
      <c r="X728" s="138"/>
    </row>
    <row r="729" spans="4:24" ht="12.75" customHeight="1" x14ac:dyDescent="0.25">
      <c r="D729" s="138"/>
      <c r="E729" s="138"/>
      <c r="L729" s="138"/>
      <c r="O729" s="138"/>
      <c r="R729" s="138"/>
      <c r="U729" s="138"/>
      <c r="X729" s="138"/>
    </row>
    <row r="730" spans="4:24" ht="12.75" customHeight="1" x14ac:dyDescent="0.25">
      <c r="D730" s="138"/>
      <c r="E730" s="138"/>
      <c r="L730" s="138"/>
      <c r="O730" s="138"/>
      <c r="R730" s="138"/>
      <c r="U730" s="138"/>
      <c r="X730" s="138"/>
    </row>
    <row r="731" spans="4:24" ht="12.75" customHeight="1" x14ac:dyDescent="0.25">
      <c r="D731" s="138"/>
      <c r="E731" s="138"/>
      <c r="L731" s="138"/>
      <c r="O731" s="138"/>
      <c r="R731" s="138"/>
      <c r="U731" s="138"/>
      <c r="X731" s="138"/>
    </row>
    <row r="732" spans="4:24" ht="12.75" customHeight="1" x14ac:dyDescent="0.25">
      <c r="D732" s="138"/>
      <c r="E732" s="138"/>
      <c r="L732" s="138"/>
      <c r="O732" s="138"/>
      <c r="R732" s="138"/>
      <c r="U732" s="138"/>
      <c r="X732" s="138"/>
    </row>
    <row r="733" spans="4:24" ht="12.75" customHeight="1" x14ac:dyDescent="0.25">
      <c r="D733" s="138"/>
      <c r="E733" s="138"/>
      <c r="L733" s="138"/>
      <c r="O733" s="138"/>
      <c r="R733" s="138"/>
      <c r="U733" s="138"/>
      <c r="X733" s="138"/>
    </row>
    <row r="734" spans="4:24" ht="12.75" customHeight="1" x14ac:dyDescent="0.25">
      <c r="D734" s="138"/>
      <c r="E734" s="138"/>
      <c r="L734" s="138"/>
      <c r="O734" s="138"/>
      <c r="R734" s="138"/>
      <c r="U734" s="138"/>
      <c r="X734" s="138"/>
    </row>
    <row r="735" spans="4:24" ht="12.75" customHeight="1" x14ac:dyDescent="0.25">
      <c r="D735" s="138"/>
      <c r="E735" s="138"/>
      <c r="L735" s="138"/>
      <c r="O735" s="138"/>
      <c r="R735" s="138"/>
      <c r="U735" s="138"/>
      <c r="X735" s="138"/>
    </row>
    <row r="736" spans="4:24" ht="12.75" customHeight="1" x14ac:dyDescent="0.25">
      <c r="D736" s="138"/>
      <c r="E736" s="138"/>
      <c r="L736" s="138"/>
      <c r="O736" s="138"/>
      <c r="R736" s="138"/>
      <c r="U736" s="138"/>
      <c r="X736" s="138"/>
    </row>
    <row r="737" spans="4:24" ht="12.75" customHeight="1" x14ac:dyDescent="0.25">
      <c r="D737" s="138"/>
      <c r="E737" s="138"/>
      <c r="L737" s="138"/>
      <c r="O737" s="138"/>
      <c r="R737" s="138"/>
      <c r="U737" s="138"/>
      <c r="X737" s="138"/>
    </row>
    <row r="738" spans="4:24" ht="12.75" customHeight="1" x14ac:dyDescent="0.25">
      <c r="D738" s="138"/>
      <c r="E738" s="138"/>
      <c r="L738" s="138"/>
      <c r="O738" s="138"/>
      <c r="R738" s="138"/>
      <c r="U738" s="138"/>
      <c r="X738" s="138"/>
    </row>
    <row r="739" spans="4:24" ht="12.75" customHeight="1" x14ac:dyDescent="0.25">
      <c r="D739" s="138"/>
      <c r="E739" s="138"/>
      <c r="L739" s="138"/>
      <c r="O739" s="138"/>
      <c r="R739" s="138"/>
      <c r="U739" s="138"/>
      <c r="X739" s="138"/>
    </row>
    <row r="740" spans="4:24" ht="12.75" customHeight="1" x14ac:dyDescent="0.25">
      <c r="D740" s="138"/>
      <c r="E740" s="138"/>
      <c r="L740" s="138"/>
      <c r="O740" s="138"/>
      <c r="R740" s="138"/>
      <c r="U740" s="138"/>
      <c r="X740" s="138"/>
    </row>
    <row r="741" spans="4:24" ht="12.75" customHeight="1" x14ac:dyDescent="0.25">
      <c r="D741" s="138"/>
      <c r="E741" s="138"/>
      <c r="L741" s="138"/>
      <c r="O741" s="138"/>
      <c r="R741" s="138"/>
      <c r="U741" s="138"/>
      <c r="X741" s="138"/>
    </row>
    <row r="742" spans="4:24" ht="12.75" customHeight="1" x14ac:dyDescent="0.25">
      <c r="D742" s="138"/>
      <c r="E742" s="138"/>
      <c r="L742" s="138"/>
      <c r="O742" s="138"/>
      <c r="R742" s="138"/>
      <c r="U742" s="138"/>
      <c r="X742" s="138"/>
    </row>
    <row r="743" spans="4:24" ht="12.75" customHeight="1" x14ac:dyDescent="0.25">
      <c r="D743" s="138"/>
      <c r="E743" s="138"/>
      <c r="L743" s="138"/>
      <c r="O743" s="138"/>
      <c r="R743" s="138"/>
      <c r="U743" s="138"/>
      <c r="X743" s="138"/>
    </row>
    <row r="744" spans="4:24" ht="12.75" customHeight="1" x14ac:dyDescent="0.25">
      <c r="D744" s="138"/>
      <c r="E744" s="138"/>
      <c r="L744" s="138"/>
      <c r="O744" s="138"/>
      <c r="R744" s="138"/>
      <c r="U744" s="138"/>
      <c r="X744" s="138"/>
    </row>
    <row r="745" spans="4:24" ht="12.75" customHeight="1" x14ac:dyDescent="0.25">
      <c r="D745" s="138"/>
      <c r="E745" s="138"/>
      <c r="L745" s="138"/>
      <c r="O745" s="138"/>
      <c r="R745" s="138"/>
      <c r="U745" s="138"/>
      <c r="X745" s="138"/>
    </row>
    <row r="746" spans="4:24" ht="12.75" customHeight="1" x14ac:dyDescent="0.25">
      <c r="D746" s="138"/>
      <c r="E746" s="138"/>
      <c r="L746" s="138"/>
      <c r="O746" s="138"/>
      <c r="R746" s="138"/>
      <c r="U746" s="138"/>
      <c r="X746" s="138"/>
    </row>
    <row r="747" spans="4:24" ht="12.75" customHeight="1" x14ac:dyDescent="0.25">
      <c r="D747" s="138"/>
      <c r="E747" s="138"/>
      <c r="L747" s="138"/>
      <c r="O747" s="138"/>
      <c r="R747" s="138"/>
      <c r="U747" s="138"/>
      <c r="X747" s="138"/>
    </row>
    <row r="748" spans="4:24" ht="12.75" customHeight="1" x14ac:dyDescent="0.25">
      <c r="D748" s="138"/>
      <c r="E748" s="138"/>
      <c r="L748" s="138"/>
      <c r="O748" s="138"/>
      <c r="R748" s="138"/>
      <c r="U748" s="138"/>
      <c r="X748" s="138"/>
    </row>
    <row r="749" spans="4:24" ht="12.75" customHeight="1" x14ac:dyDescent="0.25">
      <c r="D749" s="138"/>
      <c r="E749" s="138"/>
      <c r="L749" s="138"/>
      <c r="O749" s="138"/>
      <c r="R749" s="138"/>
      <c r="U749" s="138"/>
      <c r="X749" s="138"/>
    </row>
    <row r="750" spans="4:24" ht="12.75" customHeight="1" x14ac:dyDescent="0.25">
      <c r="D750" s="138"/>
      <c r="E750" s="138"/>
      <c r="L750" s="138"/>
      <c r="O750" s="138"/>
      <c r="R750" s="138"/>
      <c r="U750" s="138"/>
      <c r="X750" s="138"/>
    </row>
    <row r="751" spans="4:24" ht="12.75" customHeight="1" x14ac:dyDescent="0.25">
      <c r="D751" s="138"/>
      <c r="E751" s="138"/>
      <c r="L751" s="138"/>
      <c r="O751" s="138"/>
      <c r="R751" s="138"/>
      <c r="U751" s="138"/>
      <c r="X751" s="138"/>
    </row>
    <row r="752" spans="4:24" ht="12.75" customHeight="1" x14ac:dyDescent="0.25">
      <c r="D752" s="138"/>
      <c r="E752" s="138"/>
      <c r="L752" s="138"/>
      <c r="O752" s="138"/>
      <c r="R752" s="138"/>
      <c r="U752" s="138"/>
      <c r="X752" s="138"/>
    </row>
    <row r="753" spans="4:24" ht="12.75" customHeight="1" x14ac:dyDescent="0.25">
      <c r="D753" s="138"/>
      <c r="E753" s="138"/>
      <c r="L753" s="138"/>
      <c r="O753" s="138"/>
      <c r="R753" s="138"/>
      <c r="U753" s="138"/>
      <c r="X753" s="138"/>
    </row>
    <row r="754" spans="4:24" ht="12.75" customHeight="1" x14ac:dyDescent="0.25">
      <c r="D754" s="138"/>
      <c r="E754" s="138"/>
      <c r="L754" s="138"/>
      <c r="O754" s="138"/>
      <c r="R754" s="138"/>
      <c r="U754" s="138"/>
      <c r="X754" s="138"/>
    </row>
    <row r="755" spans="4:24" ht="12.75" customHeight="1" x14ac:dyDescent="0.25">
      <c r="D755" s="138"/>
      <c r="E755" s="138"/>
      <c r="L755" s="138"/>
      <c r="O755" s="138"/>
      <c r="R755" s="138"/>
      <c r="U755" s="138"/>
      <c r="X755" s="138"/>
    </row>
    <row r="756" spans="4:24" ht="12.75" customHeight="1" x14ac:dyDescent="0.25">
      <c r="D756" s="138"/>
      <c r="E756" s="138"/>
      <c r="L756" s="138"/>
      <c r="O756" s="138"/>
      <c r="R756" s="138"/>
      <c r="U756" s="138"/>
      <c r="X756" s="138"/>
    </row>
    <row r="757" spans="4:24" ht="12.75" customHeight="1" x14ac:dyDescent="0.25">
      <c r="D757" s="138"/>
      <c r="E757" s="138"/>
      <c r="L757" s="138"/>
      <c r="O757" s="138"/>
      <c r="R757" s="138"/>
      <c r="U757" s="138"/>
      <c r="X757" s="138"/>
    </row>
    <row r="758" spans="4:24" ht="12.75" customHeight="1" x14ac:dyDescent="0.25">
      <c r="D758" s="138"/>
      <c r="E758" s="138"/>
      <c r="L758" s="138"/>
      <c r="O758" s="138"/>
      <c r="R758" s="138"/>
      <c r="U758" s="138"/>
      <c r="X758" s="138"/>
    </row>
    <row r="759" spans="4:24" ht="12.75" customHeight="1" x14ac:dyDescent="0.25">
      <c r="D759" s="138"/>
      <c r="E759" s="138"/>
      <c r="L759" s="138"/>
      <c r="O759" s="138"/>
      <c r="R759" s="138"/>
      <c r="U759" s="138"/>
      <c r="X759" s="138"/>
    </row>
    <row r="760" spans="4:24" ht="12.75" customHeight="1" x14ac:dyDescent="0.25">
      <c r="D760" s="138"/>
      <c r="E760" s="138"/>
      <c r="L760" s="138"/>
      <c r="O760" s="138"/>
      <c r="R760" s="138"/>
      <c r="U760" s="138"/>
      <c r="X760" s="138"/>
    </row>
    <row r="761" spans="4:24" ht="12.75" customHeight="1" x14ac:dyDescent="0.25">
      <c r="D761" s="138"/>
      <c r="E761" s="138"/>
      <c r="L761" s="138"/>
      <c r="O761" s="138"/>
      <c r="R761" s="138"/>
      <c r="U761" s="138"/>
      <c r="X761" s="138"/>
    </row>
    <row r="762" spans="4:24" ht="12.75" customHeight="1" x14ac:dyDescent="0.25">
      <c r="D762" s="138"/>
      <c r="E762" s="138"/>
      <c r="L762" s="138"/>
      <c r="O762" s="138"/>
      <c r="R762" s="138"/>
      <c r="U762" s="138"/>
      <c r="X762" s="138"/>
    </row>
    <row r="763" spans="4:24" ht="12.75" customHeight="1" x14ac:dyDescent="0.25">
      <c r="D763" s="138"/>
      <c r="E763" s="138"/>
      <c r="L763" s="138"/>
      <c r="O763" s="138"/>
      <c r="R763" s="138"/>
      <c r="U763" s="138"/>
      <c r="X763" s="138"/>
    </row>
    <row r="764" spans="4:24" ht="12.75" customHeight="1" x14ac:dyDescent="0.25">
      <c r="D764" s="138"/>
      <c r="E764" s="138"/>
      <c r="L764" s="138"/>
      <c r="O764" s="138"/>
      <c r="R764" s="138"/>
      <c r="U764" s="138"/>
      <c r="X764" s="138"/>
    </row>
    <row r="765" spans="4:24" ht="12.75" customHeight="1" x14ac:dyDescent="0.25">
      <c r="D765" s="138"/>
      <c r="E765" s="138"/>
      <c r="L765" s="138"/>
      <c r="O765" s="138"/>
      <c r="R765" s="138"/>
      <c r="U765" s="138"/>
      <c r="X765" s="138"/>
    </row>
    <row r="766" spans="4:24" ht="12.75" customHeight="1" x14ac:dyDescent="0.25">
      <c r="D766" s="138"/>
      <c r="E766" s="138"/>
      <c r="L766" s="138"/>
      <c r="O766" s="138"/>
      <c r="R766" s="138"/>
      <c r="U766" s="138"/>
      <c r="X766" s="138"/>
    </row>
    <row r="767" spans="4:24" ht="12.75" customHeight="1" x14ac:dyDescent="0.25">
      <c r="D767" s="138"/>
      <c r="E767" s="138"/>
      <c r="L767" s="138"/>
      <c r="O767" s="138"/>
      <c r="R767" s="138"/>
      <c r="U767" s="138"/>
      <c r="X767" s="138"/>
    </row>
    <row r="768" spans="4:24" ht="12.75" customHeight="1" x14ac:dyDescent="0.25">
      <c r="D768" s="138"/>
      <c r="E768" s="138"/>
      <c r="L768" s="138"/>
      <c r="O768" s="138"/>
      <c r="R768" s="138"/>
      <c r="U768" s="138"/>
      <c r="X768" s="138"/>
    </row>
    <row r="769" spans="4:24" ht="12.75" customHeight="1" x14ac:dyDescent="0.25">
      <c r="D769" s="138"/>
      <c r="E769" s="138"/>
      <c r="L769" s="138"/>
      <c r="O769" s="138"/>
      <c r="R769" s="138"/>
      <c r="U769" s="138"/>
      <c r="X769" s="138"/>
    </row>
    <row r="770" spans="4:24" ht="12.75" customHeight="1" x14ac:dyDescent="0.25">
      <c r="D770" s="138"/>
      <c r="E770" s="138"/>
      <c r="L770" s="138"/>
      <c r="O770" s="138"/>
      <c r="R770" s="138"/>
      <c r="U770" s="138"/>
      <c r="X770" s="138"/>
    </row>
    <row r="771" spans="4:24" ht="12.75" customHeight="1" x14ac:dyDescent="0.25">
      <c r="D771" s="138"/>
      <c r="E771" s="138"/>
      <c r="L771" s="138"/>
      <c r="O771" s="138"/>
      <c r="R771" s="138"/>
      <c r="U771" s="138"/>
      <c r="X771" s="138"/>
    </row>
    <row r="772" spans="4:24" ht="12.75" customHeight="1" x14ac:dyDescent="0.25">
      <c r="D772" s="138"/>
      <c r="E772" s="138"/>
      <c r="L772" s="138"/>
      <c r="O772" s="138"/>
      <c r="R772" s="138"/>
      <c r="U772" s="138"/>
      <c r="X772" s="138"/>
    </row>
    <row r="773" spans="4:24" ht="12.75" customHeight="1" x14ac:dyDescent="0.25">
      <c r="D773" s="138"/>
      <c r="E773" s="138"/>
      <c r="L773" s="138"/>
      <c r="O773" s="138"/>
      <c r="R773" s="138"/>
      <c r="U773" s="138"/>
      <c r="X773" s="138"/>
    </row>
    <row r="774" spans="4:24" ht="12.75" customHeight="1" x14ac:dyDescent="0.25">
      <c r="D774" s="138"/>
      <c r="E774" s="138"/>
      <c r="L774" s="138"/>
      <c r="O774" s="138"/>
      <c r="R774" s="138"/>
      <c r="U774" s="138"/>
      <c r="X774" s="138"/>
    </row>
    <row r="775" spans="4:24" ht="12.75" customHeight="1" x14ac:dyDescent="0.25">
      <c r="D775" s="138"/>
      <c r="E775" s="138"/>
      <c r="L775" s="138"/>
      <c r="O775" s="138"/>
      <c r="R775" s="138"/>
      <c r="U775" s="138"/>
      <c r="X775" s="138"/>
    </row>
    <row r="776" spans="4:24" ht="12.75" customHeight="1" x14ac:dyDescent="0.25">
      <c r="D776" s="138"/>
      <c r="E776" s="138"/>
      <c r="L776" s="138"/>
      <c r="O776" s="138"/>
      <c r="R776" s="138"/>
      <c r="U776" s="138"/>
      <c r="X776" s="138"/>
    </row>
    <row r="777" spans="4:24" ht="12.75" customHeight="1" x14ac:dyDescent="0.25">
      <c r="D777" s="138"/>
      <c r="E777" s="138"/>
      <c r="L777" s="138"/>
      <c r="O777" s="138"/>
      <c r="R777" s="138"/>
      <c r="U777" s="138"/>
      <c r="X777" s="138"/>
    </row>
    <row r="778" spans="4:24" ht="12.75" customHeight="1" x14ac:dyDescent="0.25">
      <c r="D778" s="138"/>
      <c r="E778" s="138"/>
      <c r="L778" s="138"/>
      <c r="O778" s="138"/>
      <c r="R778" s="138"/>
      <c r="U778" s="138"/>
      <c r="X778" s="138"/>
    </row>
    <row r="779" spans="4:24" ht="12.75" customHeight="1" x14ac:dyDescent="0.25">
      <c r="D779" s="138"/>
      <c r="E779" s="138"/>
      <c r="L779" s="138"/>
      <c r="O779" s="138"/>
      <c r="R779" s="138"/>
      <c r="U779" s="138"/>
      <c r="X779" s="138"/>
    </row>
    <row r="780" spans="4:24" ht="12.75" customHeight="1" x14ac:dyDescent="0.25">
      <c r="D780" s="138"/>
      <c r="E780" s="138"/>
      <c r="L780" s="138"/>
      <c r="O780" s="138"/>
      <c r="R780" s="138"/>
      <c r="U780" s="138"/>
      <c r="X780" s="138"/>
    </row>
    <row r="781" spans="4:24" ht="12.75" customHeight="1" x14ac:dyDescent="0.25">
      <c r="D781" s="138"/>
      <c r="E781" s="138"/>
      <c r="L781" s="138"/>
      <c r="O781" s="138"/>
      <c r="R781" s="138"/>
      <c r="U781" s="138"/>
      <c r="X781" s="138"/>
    </row>
    <row r="782" spans="4:24" ht="12.75" customHeight="1" x14ac:dyDescent="0.25">
      <c r="D782" s="138"/>
      <c r="E782" s="138"/>
      <c r="L782" s="138"/>
      <c r="O782" s="138"/>
      <c r="R782" s="138"/>
      <c r="U782" s="138"/>
      <c r="X782" s="138"/>
    </row>
    <row r="783" spans="4:24" ht="12.75" customHeight="1" x14ac:dyDescent="0.25">
      <c r="D783" s="138"/>
      <c r="E783" s="138"/>
      <c r="L783" s="138"/>
      <c r="O783" s="138"/>
      <c r="R783" s="138"/>
      <c r="U783" s="138"/>
      <c r="X783" s="138"/>
    </row>
    <row r="784" spans="4:24" ht="12.75" customHeight="1" x14ac:dyDescent="0.25">
      <c r="D784" s="138"/>
      <c r="E784" s="138"/>
      <c r="L784" s="138"/>
      <c r="O784" s="138"/>
      <c r="R784" s="138"/>
      <c r="U784" s="138"/>
      <c r="X784" s="138"/>
    </row>
    <row r="785" spans="4:24" ht="12.75" customHeight="1" x14ac:dyDescent="0.25">
      <c r="D785" s="138"/>
      <c r="E785" s="138"/>
      <c r="L785" s="138"/>
      <c r="O785" s="138"/>
      <c r="R785" s="138"/>
      <c r="U785" s="138"/>
      <c r="X785" s="138"/>
    </row>
    <row r="786" spans="4:24" ht="12.75" customHeight="1" x14ac:dyDescent="0.25">
      <c r="D786" s="138"/>
      <c r="E786" s="138"/>
      <c r="L786" s="138"/>
      <c r="O786" s="138"/>
      <c r="R786" s="138"/>
      <c r="U786" s="138"/>
      <c r="X786" s="138"/>
    </row>
    <row r="787" spans="4:24" ht="12.75" customHeight="1" x14ac:dyDescent="0.25">
      <c r="D787" s="138"/>
      <c r="E787" s="138"/>
      <c r="L787" s="138"/>
      <c r="O787" s="138"/>
      <c r="R787" s="138"/>
      <c r="U787" s="138"/>
      <c r="X787" s="138"/>
    </row>
    <row r="788" spans="4:24" ht="12.75" customHeight="1" x14ac:dyDescent="0.25">
      <c r="D788" s="138"/>
      <c r="E788" s="138"/>
      <c r="L788" s="138"/>
      <c r="O788" s="138"/>
      <c r="R788" s="138"/>
      <c r="U788" s="138"/>
      <c r="X788" s="138"/>
    </row>
    <row r="789" spans="4:24" ht="12.75" customHeight="1" x14ac:dyDescent="0.25">
      <c r="D789" s="138"/>
      <c r="E789" s="138"/>
      <c r="L789" s="138"/>
      <c r="O789" s="138"/>
      <c r="R789" s="138"/>
      <c r="U789" s="138"/>
      <c r="X789" s="138"/>
    </row>
    <row r="790" spans="4:24" ht="12.75" customHeight="1" x14ac:dyDescent="0.25">
      <c r="D790" s="138"/>
      <c r="E790" s="138"/>
      <c r="L790" s="138"/>
      <c r="O790" s="138"/>
      <c r="R790" s="138"/>
      <c r="U790" s="138"/>
      <c r="X790" s="138"/>
    </row>
    <row r="791" spans="4:24" ht="12.75" customHeight="1" x14ac:dyDescent="0.25">
      <c r="D791" s="138"/>
      <c r="E791" s="138"/>
      <c r="L791" s="138"/>
      <c r="O791" s="138"/>
      <c r="R791" s="138"/>
      <c r="U791" s="138"/>
      <c r="X791" s="138"/>
    </row>
    <row r="792" spans="4:24" ht="12.75" customHeight="1" x14ac:dyDescent="0.25">
      <c r="D792" s="138"/>
      <c r="E792" s="138"/>
      <c r="L792" s="138"/>
      <c r="O792" s="138"/>
      <c r="R792" s="138"/>
      <c r="U792" s="138"/>
      <c r="X792" s="138"/>
    </row>
    <row r="793" spans="4:24" ht="12.75" customHeight="1" x14ac:dyDescent="0.25">
      <c r="D793" s="138"/>
      <c r="E793" s="138"/>
      <c r="L793" s="138"/>
      <c r="O793" s="138"/>
      <c r="R793" s="138"/>
      <c r="U793" s="138"/>
      <c r="X793" s="138"/>
    </row>
    <row r="794" spans="4:24" ht="12.75" customHeight="1" x14ac:dyDescent="0.25">
      <c r="D794" s="138"/>
      <c r="E794" s="138"/>
      <c r="L794" s="138"/>
      <c r="O794" s="138"/>
      <c r="R794" s="138"/>
      <c r="U794" s="138"/>
      <c r="X794" s="138"/>
    </row>
    <row r="795" spans="4:24" ht="12.75" customHeight="1" x14ac:dyDescent="0.25">
      <c r="D795" s="138"/>
      <c r="E795" s="138"/>
      <c r="L795" s="138"/>
      <c r="O795" s="138"/>
      <c r="R795" s="138"/>
      <c r="U795" s="138"/>
      <c r="X795" s="138"/>
    </row>
    <row r="796" spans="4:24" ht="12.75" customHeight="1" x14ac:dyDescent="0.25">
      <c r="D796" s="138"/>
      <c r="E796" s="138"/>
      <c r="L796" s="138"/>
      <c r="O796" s="138"/>
      <c r="R796" s="138"/>
      <c r="U796" s="138"/>
      <c r="X796" s="138"/>
    </row>
    <row r="797" spans="4:24" ht="12.75" customHeight="1" x14ac:dyDescent="0.25">
      <c r="D797" s="138"/>
      <c r="E797" s="138"/>
      <c r="L797" s="138"/>
      <c r="O797" s="138"/>
      <c r="R797" s="138"/>
      <c r="U797" s="138"/>
      <c r="X797" s="138"/>
    </row>
    <row r="798" spans="4:24" ht="12.75" customHeight="1" x14ac:dyDescent="0.25">
      <c r="D798" s="138"/>
      <c r="E798" s="138"/>
      <c r="L798" s="138"/>
      <c r="O798" s="138"/>
      <c r="R798" s="138"/>
      <c r="U798" s="138"/>
      <c r="X798" s="138"/>
    </row>
    <row r="799" spans="4:24" ht="12.75" customHeight="1" x14ac:dyDescent="0.25">
      <c r="D799" s="138"/>
      <c r="E799" s="138"/>
      <c r="L799" s="138"/>
      <c r="O799" s="138"/>
      <c r="R799" s="138"/>
      <c r="U799" s="138"/>
      <c r="X799" s="138"/>
    </row>
    <row r="800" spans="4:24" ht="12.75" customHeight="1" x14ac:dyDescent="0.25">
      <c r="D800" s="138"/>
      <c r="E800" s="138"/>
      <c r="L800" s="138"/>
      <c r="O800" s="138"/>
      <c r="R800" s="138"/>
      <c r="U800" s="138"/>
      <c r="X800" s="138"/>
    </row>
    <row r="801" spans="4:24" ht="12.75" customHeight="1" x14ac:dyDescent="0.25">
      <c r="D801" s="138"/>
      <c r="E801" s="138"/>
      <c r="L801" s="138"/>
      <c r="O801" s="138"/>
      <c r="R801" s="138"/>
      <c r="U801" s="138"/>
      <c r="X801" s="138"/>
    </row>
    <row r="802" spans="4:24" ht="12.75" customHeight="1" x14ac:dyDescent="0.25">
      <c r="D802" s="138"/>
      <c r="E802" s="138"/>
      <c r="L802" s="138"/>
      <c r="O802" s="138"/>
      <c r="R802" s="138"/>
      <c r="U802" s="138"/>
      <c r="X802" s="138"/>
    </row>
    <row r="803" spans="4:24" ht="12.75" customHeight="1" x14ac:dyDescent="0.25">
      <c r="D803" s="138"/>
      <c r="E803" s="138"/>
      <c r="L803" s="138"/>
      <c r="O803" s="138"/>
      <c r="R803" s="138"/>
      <c r="U803" s="138"/>
      <c r="X803" s="138"/>
    </row>
    <row r="804" spans="4:24" ht="12.75" customHeight="1" x14ac:dyDescent="0.25">
      <c r="D804" s="138"/>
      <c r="E804" s="138"/>
      <c r="L804" s="138"/>
      <c r="O804" s="138"/>
      <c r="R804" s="138"/>
      <c r="U804" s="138"/>
      <c r="X804" s="138"/>
    </row>
    <row r="805" spans="4:24" ht="12.75" customHeight="1" x14ac:dyDescent="0.25">
      <c r="D805" s="138"/>
      <c r="E805" s="138"/>
      <c r="L805" s="138"/>
      <c r="O805" s="138"/>
      <c r="R805" s="138"/>
      <c r="U805" s="138"/>
      <c r="X805" s="138"/>
    </row>
    <row r="806" spans="4:24" ht="12.75" customHeight="1" x14ac:dyDescent="0.25">
      <c r="D806" s="138"/>
      <c r="E806" s="138"/>
      <c r="L806" s="138"/>
      <c r="O806" s="138"/>
      <c r="R806" s="138"/>
      <c r="U806" s="138"/>
      <c r="X806" s="138"/>
    </row>
    <row r="807" spans="4:24" ht="12.75" customHeight="1" x14ac:dyDescent="0.25">
      <c r="D807" s="138"/>
      <c r="E807" s="138"/>
      <c r="L807" s="138"/>
      <c r="O807" s="138"/>
      <c r="R807" s="138"/>
      <c r="U807" s="138"/>
      <c r="X807" s="138"/>
    </row>
    <row r="808" spans="4:24" ht="12.75" customHeight="1" x14ac:dyDescent="0.25">
      <c r="D808" s="138"/>
      <c r="E808" s="138"/>
      <c r="L808" s="138"/>
      <c r="O808" s="138"/>
      <c r="R808" s="138"/>
      <c r="U808" s="138"/>
      <c r="X808" s="138"/>
    </row>
    <row r="809" spans="4:24" ht="12.75" customHeight="1" x14ac:dyDescent="0.25">
      <c r="D809" s="138"/>
      <c r="E809" s="138"/>
      <c r="L809" s="138"/>
      <c r="O809" s="138"/>
      <c r="R809" s="138"/>
      <c r="U809" s="138"/>
      <c r="X809" s="138"/>
    </row>
    <row r="810" spans="4:24" ht="12.75" customHeight="1" x14ac:dyDescent="0.25">
      <c r="D810" s="138"/>
      <c r="E810" s="138"/>
      <c r="L810" s="138"/>
      <c r="O810" s="138"/>
      <c r="R810" s="138"/>
      <c r="U810" s="138"/>
      <c r="X810" s="138"/>
    </row>
    <row r="811" spans="4:24" ht="12.75" customHeight="1" x14ac:dyDescent="0.25">
      <c r="D811" s="138"/>
      <c r="E811" s="138"/>
      <c r="L811" s="138"/>
      <c r="O811" s="138"/>
      <c r="R811" s="138"/>
      <c r="U811" s="138"/>
      <c r="X811" s="138"/>
    </row>
    <row r="812" spans="4:24" ht="12.75" customHeight="1" x14ac:dyDescent="0.25">
      <c r="D812" s="138"/>
      <c r="E812" s="138"/>
      <c r="L812" s="138"/>
      <c r="O812" s="138"/>
      <c r="R812" s="138"/>
      <c r="U812" s="138"/>
      <c r="X812" s="138"/>
    </row>
    <row r="813" spans="4:24" ht="12.75" customHeight="1" x14ac:dyDescent="0.25">
      <c r="D813" s="138"/>
      <c r="E813" s="138"/>
      <c r="L813" s="138"/>
      <c r="O813" s="138"/>
      <c r="R813" s="138"/>
      <c r="U813" s="138"/>
      <c r="X813" s="138"/>
    </row>
    <row r="814" spans="4:24" ht="12.75" customHeight="1" x14ac:dyDescent="0.25">
      <c r="D814" s="138"/>
      <c r="E814" s="138"/>
      <c r="L814" s="138"/>
      <c r="O814" s="138"/>
      <c r="R814" s="138"/>
      <c r="U814" s="138"/>
      <c r="X814" s="138"/>
    </row>
    <row r="815" spans="4:24" ht="12.75" customHeight="1" x14ac:dyDescent="0.25">
      <c r="D815" s="138"/>
      <c r="E815" s="138"/>
      <c r="L815" s="138"/>
      <c r="O815" s="138"/>
      <c r="R815" s="138"/>
      <c r="U815" s="138"/>
      <c r="X815" s="138"/>
    </row>
    <row r="816" spans="4:24" ht="12.75" customHeight="1" x14ac:dyDescent="0.25">
      <c r="D816" s="138"/>
      <c r="E816" s="138"/>
      <c r="L816" s="138"/>
      <c r="O816" s="138"/>
      <c r="R816" s="138"/>
      <c r="U816" s="138"/>
      <c r="X816" s="138"/>
    </row>
    <row r="817" spans="4:24" ht="12.75" customHeight="1" x14ac:dyDescent="0.25">
      <c r="D817" s="138"/>
      <c r="E817" s="138"/>
      <c r="L817" s="138"/>
      <c r="O817" s="138"/>
      <c r="R817" s="138"/>
      <c r="U817" s="138"/>
      <c r="X817" s="138"/>
    </row>
    <row r="818" spans="4:24" ht="12.75" customHeight="1" x14ac:dyDescent="0.25">
      <c r="D818" s="138"/>
      <c r="E818" s="138"/>
      <c r="L818" s="138"/>
      <c r="O818" s="138"/>
      <c r="R818" s="138"/>
      <c r="U818" s="138"/>
      <c r="X818" s="138"/>
    </row>
    <row r="819" spans="4:24" ht="12.75" customHeight="1" x14ac:dyDescent="0.25">
      <c r="D819" s="138"/>
      <c r="E819" s="138"/>
      <c r="L819" s="138"/>
      <c r="O819" s="138"/>
      <c r="R819" s="138"/>
      <c r="U819" s="138"/>
      <c r="X819" s="138"/>
    </row>
    <row r="820" spans="4:24" ht="12.75" customHeight="1" x14ac:dyDescent="0.25">
      <c r="D820" s="138"/>
      <c r="E820" s="138"/>
      <c r="L820" s="138"/>
      <c r="O820" s="138"/>
      <c r="R820" s="138"/>
      <c r="U820" s="138"/>
      <c r="X820" s="138"/>
    </row>
    <row r="821" spans="4:24" ht="12.75" customHeight="1" x14ac:dyDescent="0.25">
      <c r="D821" s="138"/>
      <c r="E821" s="138"/>
      <c r="L821" s="138"/>
      <c r="O821" s="138"/>
      <c r="R821" s="138"/>
      <c r="U821" s="138"/>
      <c r="X821" s="138"/>
    </row>
    <row r="822" spans="4:24" ht="12.75" customHeight="1" x14ac:dyDescent="0.25">
      <c r="D822" s="138"/>
      <c r="E822" s="138"/>
      <c r="L822" s="138"/>
      <c r="O822" s="138"/>
      <c r="R822" s="138"/>
      <c r="U822" s="138"/>
      <c r="X822" s="138"/>
    </row>
    <row r="823" spans="4:24" ht="12.75" customHeight="1" x14ac:dyDescent="0.25">
      <c r="D823" s="138"/>
      <c r="E823" s="138"/>
      <c r="L823" s="138"/>
      <c r="O823" s="138"/>
      <c r="R823" s="138"/>
      <c r="U823" s="138"/>
      <c r="X823" s="138"/>
    </row>
    <row r="824" spans="4:24" ht="12.75" customHeight="1" x14ac:dyDescent="0.25">
      <c r="D824" s="138"/>
      <c r="E824" s="138"/>
      <c r="L824" s="138"/>
      <c r="O824" s="138"/>
      <c r="R824" s="138"/>
      <c r="U824" s="138"/>
      <c r="X824" s="138"/>
    </row>
    <row r="825" spans="4:24" ht="12.75" customHeight="1" x14ac:dyDescent="0.25">
      <c r="D825" s="138"/>
      <c r="E825" s="138"/>
      <c r="L825" s="138"/>
      <c r="O825" s="138"/>
      <c r="R825" s="138"/>
      <c r="U825" s="138"/>
      <c r="X825" s="138"/>
    </row>
    <row r="826" spans="4:24" ht="12.75" customHeight="1" x14ac:dyDescent="0.25">
      <c r="D826" s="138"/>
      <c r="E826" s="138"/>
      <c r="L826" s="138"/>
      <c r="O826" s="138"/>
      <c r="R826" s="138"/>
      <c r="U826" s="138"/>
      <c r="X826" s="138"/>
    </row>
    <row r="827" spans="4:24" ht="12.75" customHeight="1" x14ac:dyDescent="0.25">
      <c r="D827" s="138"/>
      <c r="E827" s="138"/>
      <c r="L827" s="138"/>
      <c r="O827" s="138"/>
      <c r="R827" s="138"/>
      <c r="U827" s="138"/>
      <c r="X827" s="138"/>
    </row>
    <row r="828" spans="4:24" ht="12.75" customHeight="1" x14ac:dyDescent="0.25">
      <c r="D828" s="138"/>
      <c r="E828" s="138"/>
      <c r="L828" s="138"/>
      <c r="O828" s="138"/>
      <c r="R828" s="138"/>
      <c r="U828" s="138"/>
      <c r="X828" s="138"/>
    </row>
    <row r="829" spans="4:24" ht="12.75" customHeight="1" x14ac:dyDescent="0.25">
      <c r="D829" s="138"/>
      <c r="E829" s="138"/>
      <c r="L829" s="138"/>
      <c r="O829" s="138"/>
      <c r="R829" s="138"/>
      <c r="U829" s="138"/>
      <c r="X829" s="138"/>
    </row>
    <row r="830" spans="4:24" ht="12.75" customHeight="1" x14ac:dyDescent="0.25">
      <c r="D830" s="138"/>
      <c r="E830" s="138"/>
      <c r="L830" s="138"/>
      <c r="O830" s="138"/>
      <c r="R830" s="138"/>
      <c r="U830" s="138"/>
      <c r="X830" s="138"/>
    </row>
    <row r="831" spans="4:24" ht="12.75" customHeight="1" x14ac:dyDescent="0.25">
      <c r="D831" s="138"/>
      <c r="E831" s="138"/>
      <c r="L831" s="138"/>
      <c r="O831" s="138"/>
      <c r="R831" s="138"/>
      <c r="U831" s="138"/>
      <c r="X831" s="138"/>
    </row>
    <row r="832" spans="4:24" ht="12.75" customHeight="1" x14ac:dyDescent="0.25">
      <c r="D832" s="138"/>
      <c r="E832" s="138"/>
      <c r="L832" s="138"/>
      <c r="O832" s="138"/>
      <c r="R832" s="138"/>
      <c r="U832" s="138"/>
      <c r="X832" s="138"/>
    </row>
    <row r="833" spans="4:24" ht="12.75" customHeight="1" x14ac:dyDescent="0.25">
      <c r="D833" s="138"/>
      <c r="E833" s="138"/>
      <c r="L833" s="138"/>
      <c r="O833" s="138"/>
      <c r="R833" s="138"/>
      <c r="U833" s="138"/>
      <c r="X833" s="138"/>
    </row>
    <row r="834" spans="4:24" ht="12.75" customHeight="1" x14ac:dyDescent="0.25">
      <c r="D834" s="138"/>
      <c r="E834" s="138"/>
      <c r="L834" s="138"/>
      <c r="O834" s="138"/>
      <c r="R834" s="138"/>
      <c r="U834" s="138"/>
      <c r="X834" s="138"/>
    </row>
    <row r="835" spans="4:24" ht="12.75" customHeight="1" x14ac:dyDescent="0.25">
      <c r="D835" s="138"/>
      <c r="E835" s="138"/>
      <c r="L835" s="138"/>
      <c r="O835" s="138"/>
      <c r="R835" s="138"/>
      <c r="U835" s="138"/>
      <c r="X835" s="138"/>
    </row>
    <row r="836" spans="4:24" ht="12.75" customHeight="1" x14ac:dyDescent="0.25">
      <c r="D836" s="138"/>
      <c r="E836" s="138"/>
      <c r="L836" s="138"/>
      <c r="O836" s="138"/>
      <c r="R836" s="138"/>
      <c r="U836" s="138"/>
      <c r="X836" s="138"/>
    </row>
    <row r="837" spans="4:24" ht="12.75" customHeight="1" x14ac:dyDescent="0.25">
      <c r="D837" s="138"/>
      <c r="E837" s="138"/>
      <c r="L837" s="138"/>
      <c r="O837" s="138"/>
      <c r="R837" s="138"/>
      <c r="U837" s="138"/>
      <c r="X837" s="138"/>
    </row>
    <row r="838" spans="4:24" ht="12.75" customHeight="1" x14ac:dyDescent="0.25">
      <c r="D838" s="138"/>
      <c r="E838" s="138"/>
      <c r="L838" s="138"/>
      <c r="O838" s="138"/>
      <c r="R838" s="138"/>
      <c r="U838" s="138"/>
      <c r="X838" s="138"/>
    </row>
    <row r="839" spans="4:24" ht="12.75" customHeight="1" x14ac:dyDescent="0.25">
      <c r="D839" s="138"/>
      <c r="E839" s="138"/>
      <c r="L839" s="138"/>
      <c r="O839" s="138"/>
      <c r="R839" s="138"/>
      <c r="U839" s="138"/>
      <c r="X839" s="138"/>
    </row>
    <row r="840" spans="4:24" ht="12.75" customHeight="1" x14ac:dyDescent="0.25">
      <c r="D840" s="138"/>
      <c r="E840" s="138"/>
      <c r="L840" s="138"/>
      <c r="O840" s="138"/>
      <c r="R840" s="138"/>
      <c r="U840" s="138"/>
      <c r="X840" s="138"/>
    </row>
    <row r="841" spans="4:24" ht="12.75" customHeight="1" x14ac:dyDescent="0.25">
      <c r="D841" s="138"/>
      <c r="E841" s="138"/>
      <c r="L841" s="138"/>
      <c r="O841" s="138"/>
      <c r="R841" s="138"/>
      <c r="U841" s="138"/>
      <c r="X841" s="138"/>
    </row>
    <row r="842" spans="4:24" ht="12.75" customHeight="1" x14ac:dyDescent="0.25">
      <c r="D842" s="138"/>
      <c r="E842" s="138"/>
      <c r="L842" s="138"/>
      <c r="O842" s="138"/>
      <c r="R842" s="138"/>
      <c r="U842" s="138"/>
      <c r="X842" s="138"/>
    </row>
    <row r="843" spans="4:24" ht="12.75" customHeight="1" x14ac:dyDescent="0.25">
      <c r="D843" s="138"/>
      <c r="E843" s="138"/>
      <c r="L843" s="138"/>
      <c r="O843" s="138"/>
      <c r="R843" s="138"/>
      <c r="U843" s="138"/>
      <c r="X843" s="138"/>
    </row>
    <row r="844" spans="4:24" ht="12.75" customHeight="1" x14ac:dyDescent="0.25">
      <c r="D844" s="138"/>
      <c r="E844" s="138"/>
      <c r="L844" s="138"/>
      <c r="O844" s="138"/>
      <c r="R844" s="138"/>
      <c r="U844" s="138"/>
      <c r="X844" s="138"/>
    </row>
    <row r="845" spans="4:24" ht="12.75" customHeight="1" x14ac:dyDescent="0.25">
      <c r="D845" s="138"/>
      <c r="E845" s="138"/>
      <c r="L845" s="138"/>
      <c r="O845" s="138"/>
      <c r="R845" s="138"/>
      <c r="U845" s="138"/>
      <c r="X845" s="138"/>
    </row>
    <row r="846" spans="4:24" ht="12.75" customHeight="1" x14ac:dyDescent="0.25">
      <c r="D846" s="138"/>
      <c r="E846" s="138"/>
      <c r="L846" s="138"/>
      <c r="O846" s="138"/>
      <c r="R846" s="138"/>
      <c r="U846" s="138"/>
      <c r="X846" s="138"/>
    </row>
    <row r="847" spans="4:24" ht="12.75" customHeight="1" x14ac:dyDescent="0.25">
      <c r="D847" s="138"/>
      <c r="E847" s="138"/>
      <c r="L847" s="138"/>
      <c r="O847" s="138"/>
      <c r="R847" s="138"/>
      <c r="U847" s="138"/>
      <c r="X847" s="138"/>
    </row>
    <row r="848" spans="4:24" ht="12.75" customHeight="1" x14ac:dyDescent="0.25">
      <c r="D848" s="138"/>
      <c r="E848" s="138"/>
      <c r="L848" s="138"/>
      <c r="O848" s="138"/>
      <c r="R848" s="138"/>
      <c r="U848" s="138"/>
      <c r="X848" s="138"/>
    </row>
    <row r="849" spans="4:24" ht="12.75" customHeight="1" x14ac:dyDescent="0.25">
      <c r="D849" s="138"/>
      <c r="E849" s="138"/>
      <c r="L849" s="138"/>
      <c r="O849" s="138"/>
      <c r="R849" s="138"/>
      <c r="U849" s="138"/>
      <c r="X849" s="138"/>
    </row>
    <row r="850" spans="4:24" ht="12.75" customHeight="1" x14ac:dyDescent="0.25">
      <c r="D850" s="138"/>
      <c r="E850" s="138"/>
      <c r="L850" s="138"/>
      <c r="O850" s="138"/>
      <c r="R850" s="138"/>
      <c r="U850" s="138"/>
      <c r="X850" s="138"/>
    </row>
    <row r="851" spans="4:24" ht="12.75" customHeight="1" x14ac:dyDescent="0.25">
      <c r="D851" s="138"/>
      <c r="E851" s="138"/>
      <c r="L851" s="138"/>
      <c r="O851" s="138"/>
      <c r="R851" s="138"/>
      <c r="U851" s="138"/>
      <c r="X851" s="138"/>
    </row>
    <row r="852" spans="4:24" ht="12.75" customHeight="1" x14ac:dyDescent="0.25">
      <c r="D852" s="138"/>
      <c r="E852" s="138"/>
      <c r="L852" s="138"/>
      <c r="O852" s="138"/>
      <c r="R852" s="138"/>
      <c r="U852" s="138"/>
      <c r="X852" s="138"/>
    </row>
    <row r="853" spans="4:24" ht="12.75" customHeight="1" x14ac:dyDescent="0.25">
      <c r="D853" s="138"/>
      <c r="E853" s="138"/>
      <c r="L853" s="138"/>
      <c r="O853" s="138"/>
      <c r="R853" s="138"/>
      <c r="U853" s="138"/>
      <c r="X853" s="138"/>
    </row>
    <row r="854" spans="4:24" ht="12.75" customHeight="1" x14ac:dyDescent="0.25">
      <c r="D854" s="138"/>
      <c r="E854" s="138"/>
      <c r="L854" s="138"/>
      <c r="O854" s="138"/>
      <c r="R854" s="138"/>
      <c r="U854" s="138"/>
      <c r="X854" s="138"/>
    </row>
    <row r="855" spans="4:24" ht="12.75" customHeight="1" x14ac:dyDescent="0.25">
      <c r="D855" s="138"/>
      <c r="E855" s="138"/>
      <c r="L855" s="138"/>
      <c r="O855" s="138"/>
      <c r="R855" s="138"/>
      <c r="U855" s="138"/>
      <c r="X855" s="138"/>
    </row>
    <row r="856" spans="4:24" ht="12.75" customHeight="1" x14ac:dyDescent="0.25">
      <c r="D856" s="138"/>
      <c r="E856" s="138"/>
      <c r="L856" s="138"/>
      <c r="O856" s="138"/>
      <c r="R856" s="138"/>
      <c r="U856" s="138"/>
      <c r="X856" s="138"/>
    </row>
    <row r="857" spans="4:24" ht="12.75" customHeight="1" x14ac:dyDescent="0.25">
      <c r="D857" s="138"/>
      <c r="E857" s="138"/>
      <c r="L857" s="138"/>
      <c r="O857" s="138"/>
      <c r="R857" s="138"/>
      <c r="U857" s="138"/>
      <c r="X857" s="138"/>
    </row>
    <row r="858" spans="4:24" ht="12.75" customHeight="1" x14ac:dyDescent="0.25">
      <c r="D858" s="138"/>
      <c r="E858" s="138"/>
      <c r="L858" s="138"/>
      <c r="O858" s="138"/>
      <c r="R858" s="138"/>
      <c r="U858" s="138"/>
      <c r="X858" s="138"/>
    </row>
    <row r="859" spans="4:24" ht="12.75" customHeight="1" x14ac:dyDescent="0.25">
      <c r="D859" s="138"/>
      <c r="E859" s="138"/>
      <c r="L859" s="138"/>
      <c r="O859" s="138"/>
      <c r="R859" s="138"/>
      <c r="U859" s="138"/>
      <c r="X859" s="138"/>
    </row>
    <row r="860" spans="4:24" ht="12.75" customHeight="1" x14ac:dyDescent="0.25">
      <c r="D860" s="138"/>
      <c r="E860" s="138"/>
      <c r="L860" s="138"/>
      <c r="O860" s="138"/>
      <c r="R860" s="138"/>
      <c r="U860" s="138"/>
      <c r="X860" s="138"/>
    </row>
    <row r="861" spans="4:24" ht="12.75" customHeight="1" x14ac:dyDescent="0.25">
      <c r="D861" s="138"/>
      <c r="E861" s="138"/>
      <c r="L861" s="138"/>
      <c r="O861" s="138"/>
      <c r="R861" s="138"/>
      <c r="U861" s="138"/>
      <c r="X861" s="138"/>
    </row>
    <row r="862" spans="4:24" ht="12.75" customHeight="1" x14ac:dyDescent="0.25">
      <c r="D862" s="138"/>
      <c r="E862" s="138"/>
      <c r="L862" s="138"/>
      <c r="O862" s="138"/>
      <c r="R862" s="138"/>
      <c r="U862" s="138"/>
      <c r="X862" s="138"/>
    </row>
    <row r="863" spans="4:24" ht="12.75" customHeight="1" x14ac:dyDescent="0.25">
      <c r="D863" s="138"/>
      <c r="E863" s="138"/>
      <c r="L863" s="138"/>
      <c r="O863" s="138"/>
      <c r="R863" s="138"/>
      <c r="U863" s="138"/>
      <c r="X863" s="138"/>
    </row>
    <row r="864" spans="4:24" ht="12.75" customHeight="1" x14ac:dyDescent="0.25">
      <c r="D864" s="138"/>
      <c r="E864" s="138"/>
      <c r="L864" s="138"/>
      <c r="O864" s="138"/>
      <c r="R864" s="138"/>
      <c r="U864" s="138"/>
      <c r="X864" s="138"/>
    </row>
    <row r="865" spans="4:24" ht="12.75" customHeight="1" x14ac:dyDescent="0.25">
      <c r="D865" s="138"/>
      <c r="E865" s="138"/>
      <c r="L865" s="138"/>
      <c r="O865" s="138"/>
      <c r="R865" s="138"/>
      <c r="U865" s="138"/>
      <c r="X865" s="138"/>
    </row>
    <row r="866" spans="4:24" ht="12.75" customHeight="1" x14ac:dyDescent="0.25">
      <c r="D866" s="138"/>
      <c r="E866" s="138"/>
      <c r="L866" s="138"/>
      <c r="O866" s="138"/>
      <c r="R866" s="138"/>
      <c r="U866" s="138"/>
      <c r="X866" s="138"/>
    </row>
    <row r="867" spans="4:24" ht="12.75" customHeight="1" x14ac:dyDescent="0.25">
      <c r="D867" s="138"/>
      <c r="E867" s="138"/>
      <c r="L867" s="138"/>
      <c r="O867" s="138"/>
      <c r="R867" s="138"/>
      <c r="U867" s="138"/>
      <c r="X867" s="138"/>
    </row>
    <row r="868" spans="4:24" ht="12.75" customHeight="1" x14ac:dyDescent="0.25">
      <c r="D868" s="138"/>
      <c r="E868" s="138"/>
      <c r="L868" s="138"/>
      <c r="O868" s="138"/>
      <c r="R868" s="138"/>
      <c r="U868" s="138"/>
      <c r="X868" s="138"/>
    </row>
    <row r="869" spans="4:24" ht="12.75" customHeight="1" x14ac:dyDescent="0.25">
      <c r="D869" s="138"/>
      <c r="E869" s="138"/>
      <c r="L869" s="138"/>
      <c r="O869" s="138"/>
      <c r="R869" s="138"/>
      <c r="U869" s="138"/>
      <c r="X869" s="138"/>
    </row>
    <row r="870" spans="4:24" ht="12.75" customHeight="1" x14ac:dyDescent="0.25">
      <c r="D870" s="138"/>
      <c r="E870" s="138"/>
      <c r="L870" s="138"/>
      <c r="O870" s="138"/>
      <c r="R870" s="138"/>
      <c r="U870" s="138"/>
      <c r="X870" s="138"/>
    </row>
    <row r="871" spans="4:24" ht="12.75" customHeight="1" x14ac:dyDescent="0.25">
      <c r="D871" s="138"/>
      <c r="E871" s="138"/>
      <c r="L871" s="138"/>
      <c r="O871" s="138"/>
      <c r="R871" s="138"/>
      <c r="U871" s="138"/>
      <c r="X871" s="138"/>
    </row>
    <row r="872" spans="4:24" ht="12.75" customHeight="1" x14ac:dyDescent="0.25">
      <c r="D872" s="138"/>
      <c r="E872" s="138"/>
      <c r="L872" s="138"/>
      <c r="O872" s="138"/>
      <c r="R872" s="138"/>
      <c r="U872" s="138"/>
      <c r="X872" s="138"/>
    </row>
    <row r="873" spans="4:24" ht="12.75" customHeight="1" x14ac:dyDescent="0.25">
      <c r="D873" s="138"/>
      <c r="E873" s="138"/>
      <c r="L873" s="138"/>
      <c r="O873" s="138"/>
      <c r="R873" s="138"/>
      <c r="U873" s="138"/>
      <c r="X873" s="138"/>
    </row>
    <row r="874" spans="4:24" ht="12.75" customHeight="1" x14ac:dyDescent="0.25">
      <c r="D874" s="138"/>
      <c r="E874" s="138"/>
      <c r="L874" s="138"/>
      <c r="O874" s="138"/>
      <c r="R874" s="138"/>
      <c r="U874" s="138"/>
      <c r="X874" s="138"/>
    </row>
    <row r="875" spans="4:24" ht="12.75" customHeight="1" x14ac:dyDescent="0.25">
      <c r="D875" s="138"/>
      <c r="E875" s="138"/>
      <c r="L875" s="138"/>
      <c r="O875" s="138"/>
      <c r="R875" s="138"/>
      <c r="U875" s="138"/>
      <c r="X875" s="138"/>
    </row>
    <row r="876" spans="4:24" ht="12.75" customHeight="1" x14ac:dyDescent="0.25">
      <c r="D876" s="138"/>
      <c r="E876" s="138"/>
      <c r="L876" s="138"/>
      <c r="O876" s="138"/>
      <c r="R876" s="138"/>
      <c r="U876" s="138"/>
      <c r="X876" s="138"/>
    </row>
    <row r="877" spans="4:24" ht="12.75" customHeight="1" x14ac:dyDescent="0.25">
      <c r="D877" s="138"/>
      <c r="E877" s="138"/>
      <c r="L877" s="138"/>
      <c r="O877" s="138"/>
      <c r="R877" s="138"/>
      <c r="U877" s="138"/>
      <c r="X877" s="138"/>
    </row>
    <row r="878" spans="4:24" ht="12.75" customHeight="1" x14ac:dyDescent="0.25">
      <c r="D878" s="138"/>
      <c r="E878" s="138"/>
      <c r="L878" s="138"/>
      <c r="O878" s="138"/>
      <c r="R878" s="138"/>
      <c r="U878" s="138"/>
      <c r="X878" s="138"/>
    </row>
    <row r="879" spans="4:24" ht="12.75" customHeight="1" x14ac:dyDescent="0.25">
      <c r="D879" s="138"/>
      <c r="E879" s="138"/>
      <c r="L879" s="138"/>
      <c r="O879" s="138"/>
      <c r="R879" s="138"/>
      <c r="U879" s="138"/>
      <c r="X879" s="138"/>
    </row>
    <row r="880" spans="4:24" ht="12.75" customHeight="1" x14ac:dyDescent="0.25">
      <c r="D880" s="138"/>
      <c r="E880" s="138"/>
      <c r="L880" s="138"/>
      <c r="O880" s="138"/>
      <c r="R880" s="138"/>
      <c r="U880" s="138"/>
      <c r="X880" s="138"/>
    </row>
    <row r="881" spans="4:24" ht="12.75" customHeight="1" x14ac:dyDescent="0.25">
      <c r="D881" s="138"/>
      <c r="E881" s="138"/>
      <c r="L881" s="138"/>
      <c r="O881" s="138"/>
      <c r="R881" s="138"/>
      <c r="U881" s="138"/>
      <c r="X881" s="138"/>
    </row>
    <row r="882" spans="4:24" ht="12.75" customHeight="1" x14ac:dyDescent="0.25">
      <c r="D882" s="138"/>
      <c r="E882" s="138"/>
      <c r="L882" s="138"/>
      <c r="O882" s="138"/>
      <c r="R882" s="138"/>
      <c r="U882" s="138"/>
      <c r="X882" s="138"/>
    </row>
    <row r="883" spans="4:24" ht="12.75" customHeight="1" x14ac:dyDescent="0.25">
      <c r="D883" s="138"/>
      <c r="E883" s="138"/>
      <c r="L883" s="138"/>
      <c r="O883" s="138"/>
      <c r="R883" s="138"/>
      <c r="U883" s="138"/>
      <c r="X883" s="138"/>
    </row>
    <row r="884" spans="4:24" ht="12.75" customHeight="1" x14ac:dyDescent="0.25">
      <c r="D884" s="138"/>
      <c r="E884" s="138"/>
      <c r="L884" s="138"/>
      <c r="O884" s="138"/>
      <c r="R884" s="138"/>
      <c r="U884" s="138"/>
      <c r="X884" s="138"/>
    </row>
    <row r="885" spans="4:24" ht="12.75" customHeight="1" x14ac:dyDescent="0.25">
      <c r="D885" s="138"/>
      <c r="E885" s="138"/>
      <c r="L885" s="138"/>
      <c r="O885" s="138"/>
      <c r="R885" s="138"/>
      <c r="U885" s="138"/>
      <c r="X885" s="138"/>
    </row>
    <row r="886" spans="4:24" ht="12.75" customHeight="1" x14ac:dyDescent="0.25">
      <c r="D886" s="138"/>
      <c r="E886" s="138"/>
      <c r="L886" s="138"/>
      <c r="O886" s="138"/>
      <c r="R886" s="138"/>
      <c r="U886" s="138"/>
      <c r="X886" s="138"/>
    </row>
    <row r="887" spans="4:24" ht="12.75" customHeight="1" x14ac:dyDescent="0.25">
      <c r="D887" s="138"/>
      <c r="E887" s="138"/>
      <c r="L887" s="138"/>
      <c r="O887" s="138"/>
      <c r="R887" s="138"/>
      <c r="U887" s="138"/>
      <c r="X887" s="138"/>
    </row>
    <row r="888" spans="4:24" ht="12.75" customHeight="1" x14ac:dyDescent="0.25">
      <c r="D888" s="138"/>
      <c r="E888" s="138"/>
      <c r="L888" s="138"/>
      <c r="O888" s="138"/>
      <c r="R888" s="138"/>
      <c r="U888" s="138"/>
      <c r="X888" s="138"/>
    </row>
    <row r="889" spans="4:24" ht="12.75" customHeight="1" x14ac:dyDescent="0.25">
      <c r="D889" s="138"/>
      <c r="E889" s="138"/>
      <c r="L889" s="138"/>
      <c r="O889" s="138"/>
      <c r="R889" s="138"/>
      <c r="U889" s="138"/>
      <c r="X889" s="138"/>
    </row>
    <row r="890" spans="4:24" ht="12.75" customHeight="1" x14ac:dyDescent="0.25">
      <c r="D890" s="138"/>
      <c r="E890" s="138"/>
      <c r="L890" s="138"/>
      <c r="O890" s="138"/>
      <c r="R890" s="138"/>
      <c r="U890" s="138"/>
      <c r="X890" s="138"/>
    </row>
    <row r="891" spans="4:24" ht="12.75" customHeight="1" x14ac:dyDescent="0.25">
      <c r="D891" s="138"/>
      <c r="E891" s="138"/>
      <c r="L891" s="138"/>
      <c r="O891" s="138"/>
      <c r="R891" s="138"/>
      <c r="U891" s="138"/>
      <c r="X891" s="138"/>
    </row>
    <row r="892" spans="4:24" ht="12.75" customHeight="1" x14ac:dyDescent="0.25">
      <c r="D892" s="138"/>
      <c r="E892" s="138"/>
      <c r="L892" s="138"/>
      <c r="O892" s="138"/>
      <c r="R892" s="138"/>
      <c r="U892" s="138"/>
      <c r="X892" s="138"/>
    </row>
    <row r="893" spans="4:24" ht="12.75" customHeight="1" x14ac:dyDescent="0.25">
      <c r="D893" s="138"/>
      <c r="E893" s="138"/>
      <c r="L893" s="138"/>
      <c r="O893" s="138"/>
      <c r="R893" s="138"/>
      <c r="U893" s="138"/>
      <c r="X893" s="138"/>
    </row>
    <row r="894" spans="4:24" ht="12.75" customHeight="1" x14ac:dyDescent="0.25">
      <c r="D894" s="138"/>
      <c r="E894" s="138"/>
      <c r="L894" s="138"/>
      <c r="O894" s="138"/>
      <c r="R894" s="138"/>
      <c r="U894" s="138"/>
      <c r="X894" s="138"/>
    </row>
    <row r="895" spans="4:24" ht="12.75" customHeight="1" x14ac:dyDescent="0.25">
      <c r="D895" s="138"/>
      <c r="E895" s="138"/>
      <c r="L895" s="138"/>
      <c r="O895" s="138"/>
      <c r="R895" s="138"/>
      <c r="U895" s="138"/>
      <c r="X895" s="138"/>
    </row>
    <row r="896" spans="4:24" ht="12.75" customHeight="1" x14ac:dyDescent="0.25">
      <c r="D896" s="138"/>
      <c r="E896" s="138"/>
      <c r="L896" s="138"/>
      <c r="O896" s="138"/>
      <c r="R896" s="138"/>
      <c r="U896" s="138"/>
      <c r="X896" s="138"/>
    </row>
    <row r="897" spans="4:24" ht="12.75" customHeight="1" x14ac:dyDescent="0.25">
      <c r="D897" s="138"/>
      <c r="E897" s="138"/>
      <c r="L897" s="138"/>
      <c r="O897" s="138"/>
      <c r="R897" s="138"/>
      <c r="U897" s="138"/>
      <c r="X897" s="138"/>
    </row>
    <row r="898" spans="4:24" ht="12.75" customHeight="1" x14ac:dyDescent="0.25">
      <c r="D898" s="138"/>
      <c r="E898" s="138"/>
      <c r="L898" s="138"/>
      <c r="O898" s="138"/>
      <c r="R898" s="138"/>
      <c r="U898" s="138"/>
      <c r="X898" s="138"/>
    </row>
    <row r="899" spans="4:24" ht="12.75" customHeight="1" x14ac:dyDescent="0.25">
      <c r="D899" s="138"/>
      <c r="E899" s="138"/>
      <c r="L899" s="138"/>
      <c r="O899" s="138"/>
      <c r="R899" s="138"/>
      <c r="U899" s="138"/>
      <c r="X899" s="138"/>
    </row>
    <row r="900" spans="4:24" ht="12.75" customHeight="1" x14ac:dyDescent="0.25">
      <c r="D900" s="138"/>
      <c r="E900" s="138"/>
      <c r="L900" s="138"/>
      <c r="O900" s="138"/>
      <c r="R900" s="138"/>
      <c r="U900" s="138"/>
      <c r="X900" s="138"/>
    </row>
    <row r="901" spans="4:24" ht="12.75" customHeight="1" x14ac:dyDescent="0.25">
      <c r="D901" s="138"/>
      <c r="E901" s="138"/>
      <c r="L901" s="138"/>
      <c r="O901" s="138"/>
      <c r="R901" s="138"/>
      <c r="U901" s="138"/>
      <c r="X901" s="138"/>
    </row>
    <row r="902" spans="4:24" ht="12.75" customHeight="1" x14ac:dyDescent="0.25">
      <c r="D902" s="138"/>
      <c r="E902" s="138"/>
      <c r="L902" s="138"/>
      <c r="O902" s="138"/>
      <c r="R902" s="138"/>
      <c r="U902" s="138"/>
      <c r="X902" s="138"/>
    </row>
    <row r="903" spans="4:24" ht="12.75" customHeight="1" x14ac:dyDescent="0.25">
      <c r="D903" s="138"/>
      <c r="E903" s="138"/>
      <c r="L903" s="138"/>
      <c r="O903" s="138"/>
      <c r="R903" s="138"/>
      <c r="U903" s="138"/>
      <c r="X903" s="138"/>
    </row>
    <row r="904" spans="4:24" ht="12.75" customHeight="1" x14ac:dyDescent="0.25">
      <c r="D904" s="138"/>
      <c r="E904" s="138"/>
      <c r="L904" s="138"/>
      <c r="O904" s="138"/>
      <c r="R904" s="138"/>
      <c r="U904" s="138"/>
      <c r="X904" s="138"/>
    </row>
    <row r="905" spans="4:24" ht="12.75" customHeight="1" x14ac:dyDescent="0.25">
      <c r="D905" s="138"/>
      <c r="E905" s="138"/>
      <c r="L905" s="138"/>
      <c r="O905" s="138"/>
      <c r="R905" s="138"/>
      <c r="U905" s="138"/>
      <c r="X905" s="138"/>
    </row>
    <row r="906" spans="4:24" ht="12.75" customHeight="1" x14ac:dyDescent="0.25">
      <c r="D906" s="138"/>
      <c r="E906" s="138"/>
      <c r="L906" s="138"/>
      <c r="O906" s="138"/>
      <c r="R906" s="138"/>
      <c r="U906" s="138"/>
      <c r="X906" s="138"/>
    </row>
    <row r="907" spans="4:24" ht="12.75" customHeight="1" x14ac:dyDescent="0.25">
      <c r="D907" s="138"/>
      <c r="E907" s="138"/>
      <c r="L907" s="138"/>
      <c r="O907" s="138"/>
      <c r="R907" s="138"/>
      <c r="U907" s="138"/>
      <c r="X907" s="138"/>
    </row>
    <row r="908" spans="4:24" ht="12.75" customHeight="1" x14ac:dyDescent="0.25">
      <c r="D908" s="138"/>
      <c r="E908" s="138"/>
      <c r="L908" s="138"/>
      <c r="O908" s="138"/>
      <c r="R908" s="138"/>
      <c r="U908" s="138"/>
      <c r="X908" s="138"/>
    </row>
    <row r="909" spans="4:24" ht="12.75" customHeight="1" x14ac:dyDescent="0.25">
      <c r="D909" s="138"/>
      <c r="E909" s="138"/>
      <c r="L909" s="138"/>
      <c r="O909" s="138"/>
      <c r="R909" s="138"/>
      <c r="U909" s="138"/>
      <c r="X909" s="138"/>
    </row>
    <row r="910" spans="4:24" ht="12.75" customHeight="1" x14ac:dyDescent="0.25">
      <c r="D910" s="138"/>
      <c r="E910" s="138"/>
      <c r="L910" s="138"/>
      <c r="O910" s="138"/>
      <c r="R910" s="138"/>
      <c r="U910" s="138"/>
      <c r="X910" s="138"/>
    </row>
    <row r="911" spans="4:24" ht="12.75" customHeight="1" x14ac:dyDescent="0.25">
      <c r="D911" s="138"/>
      <c r="E911" s="138"/>
      <c r="L911" s="138"/>
      <c r="O911" s="138"/>
      <c r="R911" s="138"/>
      <c r="U911" s="138"/>
      <c r="X911" s="138"/>
    </row>
    <row r="912" spans="4:24" ht="12.75" customHeight="1" x14ac:dyDescent="0.25">
      <c r="D912" s="138"/>
      <c r="E912" s="138"/>
      <c r="L912" s="138"/>
      <c r="O912" s="138"/>
      <c r="R912" s="138"/>
      <c r="U912" s="138"/>
      <c r="X912" s="138"/>
    </row>
    <row r="913" spans="4:24" ht="12.75" customHeight="1" x14ac:dyDescent="0.25">
      <c r="D913" s="138"/>
      <c r="E913" s="138"/>
      <c r="L913" s="138"/>
      <c r="O913" s="138"/>
      <c r="R913" s="138"/>
      <c r="U913" s="138"/>
      <c r="X913" s="138"/>
    </row>
    <row r="914" spans="4:24" ht="12.75" customHeight="1" x14ac:dyDescent="0.25">
      <c r="D914" s="138"/>
      <c r="E914" s="138"/>
      <c r="L914" s="138"/>
      <c r="O914" s="138"/>
      <c r="R914" s="138"/>
      <c r="U914" s="138"/>
      <c r="X914" s="138"/>
    </row>
    <row r="915" spans="4:24" ht="12.75" customHeight="1" x14ac:dyDescent="0.25">
      <c r="D915" s="138"/>
      <c r="E915" s="138"/>
      <c r="L915" s="138"/>
      <c r="O915" s="138"/>
      <c r="R915" s="138"/>
      <c r="U915" s="138"/>
      <c r="X915" s="138"/>
    </row>
    <row r="916" spans="4:24" ht="12.75" customHeight="1" x14ac:dyDescent="0.25">
      <c r="D916" s="138"/>
      <c r="E916" s="138"/>
      <c r="L916" s="138"/>
      <c r="O916" s="138"/>
      <c r="R916" s="138"/>
      <c r="U916" s="138"/>
      <c r="X916" s="138"/>
    </row>
    <row r="917" spans="4:24" ht="12.75" customHeight="1" x14ac:dyDescent="0.25">
      <c r="D917" s="138"/>
      <c r="E917" s="138"/>
      <c r="L917" s="138"/>
      <c r="O917" s="138"/>
      <c r="R917" s="138"/>
      <c r="U917" s="138"/>
      <c r="X917" s="138"/>
    </row>
    <row r="918" spans="4:24" ht="12.75" customHeight="1" x14ac:dyDescent="0.25">
      <c r="D918" s="138"/>
      <c r="E918" s="138"/>
      <c r="L918" s="138"/>
      <c r="O918" s="138"/>
      <c r="R918" s="138"/>
      <c r="U918" s="138"/>
      <c r="X918" s="138"/>
    </row>
    <row r="919" spans="4:24" ht="12.75" customHeight="1" x14ac:dyDescent="0.25">
      <c r="D919" s="138"/>
      <c r="E919" s="138"/>
      <c r="L919" s="138"/>
      <c r="O919" s="138"/>
      <c r="R919" s="138"/>
      <c r="U919" s="138"/>
      <c r="X919" s="138"/>
    </row>
    <row r="920" spans="4:24" ht="12.75" customHeight="1" x14ac:dyDescent="0.25">
      <c r="D920" s="138"/>
      <c r="E920" s="138"/>
      <c r="L920" s="138"/>
      <c r="O920" s="138"/>
      <c r="R920" s="138"/>
      <c r="U920" s="138"/>
      <c r="X920" s="138"/>
    </row>
    <row r="921" spans="4:24" ht="12.75" customHeight="1" x14ac:dyDescent="0.25">
      <c r="D921" s="138"/>
      <c r="E921" s="138"/>
      <c r="L921" s="138"/>
      <c r="O921" s="138"/>
      <c r="R921" s="138"/>
      <c r="U921" s="138"/>
      <c r="X921" s="138"/>
    </row>
    <row r="922" spans="4:24" ht="12.75" customHeight="1" x14ac:dyDescent="0.25">
      <c r="D922" s="138"/>
      <c r="E922" s="138"/>
      <c r="L922" s="138"/>
      <c r="O922" s="138"/>
      <c r="R922" s="138"/>
      <c r="U922" s="138"/>
      <c r="X922" s="138"/>
    </row>
    <row r="923" spans="4:24" ht="12.75" customHeight="1" x14ac:dyDescent="0.25">
      <c r="D923" s="138"/>
      <c r="E923" s="138"/>
      <c r="L923" s="138"/>
      <c r="O923" s="138"/>
      <c r="R923" s="138"/>
      <c r="U923" s="138"/>
      <c r="X923" s="138"/>
    </row>
    <row r="924" spans="4:24" ht="12.75" customHeight="1" x14ac:dyDescent="0.25">
      <c r="D924" s="138"/>
      <c r="E924" s="138"/>
      <c r="L924" s="138"/>
      <c r="O924" s="138"/>
      <c r="R924" s="138"/>
      <c r="U924" s="138"/>
      <c r="X924" s="138"/>
    </row>
    <row r="925" spans="4:24" ht="12.75" customHeight="1" x14ac:dyDescent="0.25">
      <c r="D925" s="138"/>
      <c r="E925" s="138"/>
      <c r="L925" s="138"/>
      <c r="O925" s="138"/>
      <c r="R925" s="138"/>
      <c r="U925" s="138"/>
      <c r="X925" s="138"/>
    </row>
    <row r="926" spans="4:24" ht="12.75" customHeight="1" x14ac:dyDescent="0.25">
      <c r="D926" s="138"/>
      <c r="E926" s="138"/>
      <c r="L926" s="138"/>
      <c r="O926" s="138"/>
      <c r="R926" s="138"/>
      <c r="U926" s="138"/>
      <c r="X926" s="138"/>
    </row>
    <row r="927" spans="4:24" ht="12.75" customHeight="1" x14ac:dyDescent="0.25">
      <c r="D927" s="138"/>
      <c r="E927" s="138"/>
      <c r="L927" s="138"/>
      <c r="O927" s="138"/>
      <c r="R927" s="138"/>
      <c r="U927" s="138"/>
      <c r="X927" s="138"/>
    </row>
    <row r="928" spans="4:24" ht="12.75" customHeight="1" x14ac:dyDescent="0.25">
      <c r="D928" s="138"/>
      <c r="E928" s="138"/>
      <c r="L928" s="138"/>
      <c r="O928" s="138"/>
      <c r="R928" s="138"/>
      <c r="U928" s="138"/>
      <c r="X928" s="138"/>
    </row>
    <row r="929" spans="4:24" ht="12.75" customHeight="1" x14ac:dyDescent="0.25">
      <c r="D929" s="138"/>
      <c r="E929" s="138"/>
      <c r="L929" s="138"/>
      <c r="O929" s="138"/>
      <c r="R929" s="138"/>
      <c r="U929" s="138"/>
      <c r="X929" s="138"/>
    </row>
    <row r="930" spans="4:24" ht="12.75" customHeight="1" x14ac:dyDescent="0.25">
      <c r="D930" s="138"/>
      <c r="E930" s="138"/>
      <c r="L930" s="138"/>
      <c r="O930" s="138"/>
      <c r="R930" s="138"/>
      <c r="U930" s="138"/>
      <c r="X930" s="138"/>
    </row>
    <row r="931" spans="4:24" ht="12.75" customHeight="1" x14ac:dyDescent="0.25">
      <c r="D931" s="138"/>
      <c r="E931" s="138"/>
      <c r="L931" s="138"/>
      <c r="O931" s="138"/>
      <c r="R931" s="138"/>
      <c r="U931" s="138"/>
      <c r="X931" s="138"/>
    </row>
    <row r="932" spans="4:24" ht="12.75" customHeight="1" x14ac:dyDescent="0.25">
      <c r="D932" s="138"/>
      <c r="E932" s="138"/>
      <c r="L932" s="138"/>
      <c r="O932" s="138"/>
      <c r="R932" s="138"/>
      <c r="U932" s="138"/>
      <c r="X932" s="138"/>
    </row>
    <row r="933" spans="4:24" ht="12.75" customHeight="1" x14ac:dyDescent="0.25">
      <c r="D933" s="138"/>
      <c r="E933" s="138"/>
      <c r="L933" s="138"/>
      <c r="O933" s="138"/>
      <c r="R933" s="138"/>
      <c r="U933" s="138"/>
      <c r="X933" s="138"/>
    </row>
    <row r="934" spans="4:24" ht="12.75" customHeight="1" x14ac:dyDescent="0.25">
      <c r="D934" s="138"/>
      <c r="E934" s="138"/>
      <c r="L934" s="138"/>
      <c r="O934" s="138"/>
      <c r="R934" s="138"/>
      <c r="U934" s="138"/>
      <c r="X934" s="138"/>
    </row>
    <row r="935" spans="4:24" ht="12.75" customHeight="1" x14ac:dyDescent="0.25">
      <c r="D935" s="138"/>
      <c r="E935" s="138"/>
      <c r="L935" s="138"/>
      <c r="O935" s="138"/>
      <c r="R935" s="138"/>
      <c r="U935" s="138"/>
      <c r="X935" s="138"/>
    </row>
    <row r="936" spans="4:24" ht="12.75" customHeight="1" x14ac:dyDescent="0.25">
      <c r="D936" s="138"/>
      <c r="E936" s="138"/>
      <c r="L936" s="138"/>
      <c r="O936" s="138"/>
      <c r="R936" s="138"/>
      <c r="U936" s="138"/>
      <c r="X936" s="138"/>
    </row>
    <row r="937" spans="4:24" ht="12.75" customHeight="1" x14ac:dyDescent="0.25">
      <c r="D937" s="138"/>
      <c r="E937" s="138"/>
      <c r="L937" s="138"/>
      <c r="O937" s="138"/>
      <c r="R937" s="138"/>
      <c r="U937" s="138"/>
      <c r="X937" s="138"/>
    </row>
    <row r="938" spans="4:24" ht="12.75" customHeight="1" x14ac:dyDescent="0.25">
      <c r="D938" s="138"/>
      <c r="E938" s="138"/>
      <c r="L938" s="138"/>
      <c r="O938" s="138"/>
      <c r="R938" s="138"/>
      <c r="U938" s="138"/>
      <c r="X938" s="138"/>
    </row>
    <row r="939" spans="4:24" ht="12.75" customHeight="1" x14ac:dyDescent="0.25">
      <c r="D939" s="138"/>
      <c r="E939" s="138"/>
      <c r="L939" s="138"/>
      <c r="O939" s="138"/>
      <c r="R939" s="138"/>
      <c r="U939" s="138"/>
      <c r="X939" s="138"/>
    </row>
    <row r="940" spans="4:24" ht="12.75" customHeight="1" x14ac:dyDescent="0.25">
      <c r="D940" s="138"/>
      <c r="E940" s="138"/>
      <c r="L940" s="138"/>
      <c r="O940" s="138"/>
      <c r="R940" s="138"/>
      <c r="U940" s="138"/>
      <c r="X940" s="138"/>
    </row>
    <row r="941" spans="4:24" ht="12.75" customHeight="1" x14ac:dyDescent="0.25">
      <c r="D941" s="138"/>
      <c r="E941" s="138"/>
      <c r="L941" s="138"/>
      <c r="O941" s="138"/>
      <c r="R941" s="138"/>
      <c r="U941" s="138"/>
      <c r="X941" s="138"/>
    </row>
    <row r="942" spans="4:24" ht="12.75" customHeight="1" x14ac:dyDescent="0.25">
      <c r="D942" s="138"/>
      <c r="E942" s="138"/>
      <c r="L942" s="138"/>
      <c r="O942" s="138"/>
      <c r="R942" s="138"/>
      <c r="U942" s="138"/>
      <c r="X942" s="138"/>
    </row>
    <row r="943" spans="4:24" ht="12.75" customHeight="1" x14ac:dyDescent="0.25">
      <c r="D943" s="138"/>
      <c r="E943" s="138"/>
      <c r="L943" s="138"/>
      <c r="O943" s="138"/>
      <c r="R943" s="138"/>
      <c r="U943" s="138"/>
      <c r="X943" s="138"/>
    </row>
    <row r="944" spans="4:24" ht="12.75" customHeight="1" x14ac:dyDescent="0.25">
      <c r="D944" s="138"/>
      <c r="E944" s="138"/>
      <c r="L944" s="138"/>
      <c r="O944" s="138"/>
      <c r="R944" s="138"/>
      <c r="U944" s="138"/>
      <c r="X944" s="138"/>
    </row>
    <row r="945" spans="4:24" ht="12.75" customHeight="1" x14ac:dyDescent="0.25">
      <c r="D945" s="138"/>
      <c r="E945" s="138"/>
      <c r="L945" s="138"/>
      <c r="O945" s="138"/>
      <c r="R945" s="138"/>
      <c r="U945" s="138"/>
      <c r="X945" s="138"/>
    </row>
    <row r="946" spans="4:24" ht="12.75" customHeight="1" x14ac:dyDescent="0.25">
      <c r="D946" s="138"/>
      <c r="E946" s="138"/>
      <c r="L946" s="138"/>
      <c r="O946" s="138"/>
      <c r="R946" s="138"/>
      <c r="U946" s="138"/>
      <c r="X946" s="138"/>
    </row>
    <row r="947" spans="4:24" ht="12.75" customHeight="1" x14ac:dyDescent="0.25">
      <c r="D947" s="138"/>
      <c r="E947" s="138"/>
      <c r="L947" s="138"/>
      <c r="O947" s="138"/>
      <c r="R947" s="138"/>
      <c r="U947" s="138"/>
      <c r="X947" s="138"/>
    </row>
    <row r="948" spans="4:24" ht="12.75" customHeight="1" x14ac:dyDescent="0.25">
      <c r="D948" s="138"/>
      <c r="E948" s="138"/>
      <c r="L948" s="138"/>
      <c r="O948" s="138"/>
      <c r="R948" s="138"/>
      <c r="U948" s="138"/>
      <c r="X948" s="138"/>
    </row>
    <row r="949" spans="4:24" ht="12.75" customHeight="1" x14ac:dyDescent="0.25">
      <c r="D949" s="138"/>
      <c r="E949" s="138"/>
      <c r="L949" s="138"/>
      <c r="O949" s="138"/>
      <c r="R949" s="138"/>
      <c r="U949" s="138"/>
      <c r="X949" s="138"/>
    </row>
    <row r="950" spans="4:24" ht="12.75" customHeight="1" x14ac:dyDescent="0.25">
      <c r="D950" s="138"/>
      <c r="E950" s="138"/>
      <c r="L950" s="138"/>
      <c r="O950" s="138"/>
      <c r="R950" s="138"/>
      <c r="U950" s="138"/>
      <c r="X950" s="138"/>
    </row>
    <row r="951" spans="4:24" ht="12.75" customHeight="1" x14ac:dyDescent="0.25">
      <c r="D951" s="138"/>
      <c r="E951" s="138"/>
      <c r="L951" s="138"/>
      <c r="O951" s="138"/>
      <c r="R951" s="138"/>
      <c r="U951" s="138"/>
      <c r="X951" s="138"/>
    </row>
    <row r="952" spans="4:24" ht="12.75" customHeight="1" x14ac:dyDescent="0.25">
      <c r="D952" s="138"/>
      <c r="E952" s="138"/>
      <c r="L952" s="138"/>
      <c r="O952" s="138"/>
      <c r="R952" s="138"/>
      <c r="U952" s="138"/>
      <c r="X952" s="138"/>
    </row>
    <row r="953" spans="4:24" ht="12.75" customHeight="1" x14ac:dyDescent="0.25">
      <c r="D953" s="138"/>
      <c r="E953" s="138"/>
      <c r="L953" s="138"/>
      <c r="O953" s="138"/>
      <c r="R953" s="138"/>
      <c r="U953" s="138"/>
      <c r="X953" s="138"/>
    </row>
    <row r="954" spans="4:24" ht="12.75" customHeight="1" x14ac:dyDescent="0.25">
      <c r="D954" s="138"/>
      <c r="E954" s="138"/>
      <c r="L954" s="138"/>
      <c r="O954" s="138"/>
      <c r="R954" s="138"/>
      <c r="U954" s="138"/>
      <c r="X954" s="138"/>
    </row>
    <row r="955" spans="4:24" ht="12.75" customHeight="1" x14ac:dyDescent="0.25">
      <c r="D955" s="138"/>
      <c r="E955" s="138"/>
      <c r="L955" s="138"/>
      <c r="O955" s="138"/>
      <c r="R955" s="138"/>
      <c r="U955" s="138"/>
      <c r="X955" s="138"/>
    </row>
    <row r="956" spans="4:24" ht="12.75" customHeight="1" x14ac:dyDescent="0.25">
      <c r="D956" s="138"/>
      <c r="E956" s="138"/>
      <c r="L956" s="138"/>
      <c r="O956" s="138"/>
      <c r="R956" s="138"/>
      <c r="U956" s="138"/>
      <c r="X956" s="138"/>
    </row>
    <row r="957" spans="4:24" ht="12.75" customHeight="1" x14ac:dyDescent="0.25">
      <c r="D957" s="138"/>
      <c r="E957" s="138"/>
      <c r="L957" s="138"/>
      <c r="O957" s="138"/>
      <c r="R957" s="138"/>
      <c r="U957" s="138"/>
      <c r="X957" s="138"/>
    </row>
    <row r="958" spans="4:24" ht="12.75" customHeight="1" x14ac:dyDescent="0.25">
      <c r="D958" s="138"/>
      <c r="E958" s="138"/>
      <c r="L958" s="138"/>
      <c r="O958" s="138"/>
      <c r="R958" s="138"/>
      <c r="U958" s="138"/>
      <c r="X958" s="138"/>
    </row>
    <row r="959" spans="4:24" ht="12.75" customHeight="1" x14ac:dyDescent="0.25">
      <c r="D959" s="138"/>
      <c r="E959" s="138"/>
      <c r="L959" s="138"/>
      <c r="O959" s="138"/>
      <c r="R959" s="138"/>
      <c r="U959" s="138"/>
      <c r="X959" s="138"/>
    </row>
    <row r="960" spans="4:24" ht="12.75" customHeight="1" x14ac:dyDescent="0.25">
      <c r="D960" s="138"/>
      <c r="E960" s="138"/>
      <c r="L960" s="138"/>
      <c r="O960" s="138"/>
      <c r="R960" s="138"/>
      <c r="U960" s="138"/>
      <c r="X960" s="138"/>
    </row>
    <row r="961" spans="4:24" ht="12.75" customHeight="1" x14ac:dyDescent="0.25">
      <c r="D961" s="138"/>
      <c r="E961" s="138"/>
      <c r="L961" s="138"/>
      <c r="O961" s="138"/>
      <c r="R961" s="138"/>
      <c r="U961" s="138"/>
      <c r="X961" s="138"/>
    </row>
    <row r="962" spans="4:24" ht="12.75" customHeight="1" x14ac:dyDescent="0.25">
      <c r="D962" s="138"/>
      <c r="E962" s="138"/>
      <c r="L962" s="138"/>
      <c r="O962" s="138"/>
      <c r="R962" s="138"/>
      <c r="U962" s="138"/>
      <c r="X962" s="138"/>
    </row>
    <row r="963" spans="4:24" ht="12.75" customHeight="1" x14ac:dyDescent="0.25">
      <c r="D963" s="138"/>
      <c r="E963" s="138"/>
      <c r="L963" s="138"/>
      <c r="O963" s="138"/>
      <c r="R963" s="138"/>
      <c r="U963" s="138"/>
      <c r="X963" s="138"/>
    </row>
    <row r="964" spans="4:24" ht="12.75" customHeight="1" x14ac:dyDescent="0.25">
      <c r="D964" s="138"/>
      <c r="E964" s="138"/>
      <c r="L964" s="138"/>
      <c r="O964" s="138"/>
      <c r="R964" s="138"/>
      <c r="U964" s="138"/>
      <c r="X964" s="138"/>
    </row>
    <row r="965" spans="4:24" ht="12.75" customHeight="1" x14ac:dyDescent="0.25">
      <c r="D965" s="138"/>
      <c r="E965" s="138"/>
      <c r="L965" s="138"/>
      <c r="O965" s="138"/>
      <c r="R965" s="138"/>
      <c r="U965" s="138"/>
      <c r="X965" s="138"/>
    </row>
    <row r="966" spans="4:24" ht="12.75" customHeight="1" x14ac:dyDescent="0.25">
      <c r="D966" s="138"/>
      <c r="E966" s="138"/>
      <c r="L966" s="138"/>
      <c r="O966" s="138"/>
      <c r="R966" s="138"/>
      <c r="U966" s="138"/>
      <c r="X966" s="138"/>
    </row>
    <row r="967" spans="4:24" ht="12.75" customHeight="1" x14ac:dyDescent="0.25">
      <c r="D967" s="138"/>
      <c r="E967" s="138"/>
      <c r="L967" s="138"/>
      <c r="O967" s="138"/>
      <c r="R967" s="138"/>
      <c r="U967" s="138"/>
      <c r="X967" s="138"/>
    </row>
    <row r="968" spans="4:24" ht="12.75" customHeight="1" x14ac:dyDescent="0.25">
      <c r="D968" s="138"/>
      <c r="E968" s="138"/>
      <c r="L968" s="138"/>
      <c r="O968" s="138"/>
      <c r="R968" s="138"/>
      <c r="U968" s="138"/>
      <c r="X968" s="138"/>
    </row>
    <row r="969" spans="4:24" ht="12.75" customHeight="1" x14ac:dyDescent="0.25">
      <c r="D969" s="138"/>
      <c r="E969" s="138"/>
      <c r="L969" s="138"/>
      <c r="O969" s="138"/>
      <c r="R969" s="138"/>
      <c r="U969" s="138"/>
      <c r="X969" s="138"/>
    </row>
    <row r="970" spans="4:24" ht="12.75" customHeight="1" x14ac:dyDescent="0.25">
      <c r="D970" s="138"/>
      <c r="E970" s="138"/>
      <c r="L970" s="138"/>
      <c r="O970" s="138"/>
      <c r="R970" s="138"/>
      <c r="U970" s="138"/>
      <c r="X970" s="138"/>
    </row>
    <row r="971" spans="4:24" ht="12.75" customHeight="1" x14ac:dyDescent="0.25">
      <c r="D971" s="138"/>
      <c r="E971" s="138"/>
      <c r="L971" s="138"/>
      <c r="O971" s="138"/>
      <c r="R971" s="138"/>
      <c r="U971" s="138"/>
      <c r="X971" s="138"/>
    </row>
    <row r="972" spans="4:24" ht="12.75" customHeight="1" x14ac:dyDescent="0.25">
      <c r="D972" s="138"/>
      <c r="E972" s="138"/>
      <c r="L972" s="138"/>
      <c r="O972" s="138"/>
      <c r="R972" s="138"/>
      <c r="U972" s="138"/>
      <c r="X972" s="138"/>
    </row>
    <row r="973" spans="4:24" ht="12.75" customHeight="1" x14ac:dyDescent="0.25">
      <c r="D973" s="138"/>
      <c r="E973" s="138"/>
      <c r="L973" s="138"/>
      <c r="O973" s="138"/>
      <c r="R973" s="138"/>
      <c r="U973" s="138"/>
      <c r="X973" s="138"/>
    </row>
    <row r="974" spans="4:24" ht="12.75" customHeight="1" x14ac:dyDescent="0.25">
      <c r="D974" s="138"/>
      <c r="E974" s="138"/>
      <c r="L974" s="138"/>
      <c r="O974" s="138"/>
      <c r="R974" s="138"/>
      <c r="U974" s="138"/>
      <c r="X974" s="138"/>
    </row>
    <row r="975" spans="4:24" ht="12.75" customHeight="1" x14ac:dyDescent="0.25">
      <c r="D975" s="138"/>
      <c r="E975" s="138"/>
      <c r="L975" s="138"/>
      <c r="O975" s="138"/>
      <c r="R975" s="138"/>
      <c r="U975" s="138"/>
      <c r="X975" s="138"/>
    </row>
    <row r="976" spans="4:24" ht="12.75" customHeight="1" x14ac:dyDescent="0.25">
      <c r="D976" s="138"/>
      <c r="E976" s="138"/>
      <c r="L976" s="138"/>
      <c r="O976" s="138"/>
      <c r="R976" s="138"/>
      <c r="U976" s="138"/>
      <c r="X976" s="138"/>
    </row>
    <row r="977" spans="4:24" ht="12.75" customHeight="1" x14ac:dyDescent="0.25">
      <c r="D977" s="138"/>
      <c r="E977" s="138"/>
      <c r="L977" s="138"/>
      <c r="O977" s="138"/>
      <c r="R977" s="138"/>
      <c r="U977" s="138"/>
      <c r="X977" s="138"/>
    </row>
    <row r="978" spans="4:24" ht="12.75" customHeight="1" x14ac:dyDescent="0.25">
      <c r="D978" s="138"/>
      <c r="E978" s="138"/>
      <c r="L978" s="138"/>
      <c r="O978" s="138"/>
      <c r="R978" s="138"/>
      <c r="U978" s="138"/>
      <c r="X978" s="138"/>
    </row>
    <row r="979" spans="4:24" ht="12.75" customHeight="1" x14ac:dyDescent="0.25">
      <c r="D979" s="138"/>
      <c r="E979" s="138"/>
      <c r="L979" s="138"/>
      <c r="O979" s="138"/>
      <c r="R979" s="138"/>
      <c r="U979" s="138"/>
      <c r="X979" s="138"/>
    </row>
    <row r="980" spans="4:24" ht="12.75" customHeight="1" x14ac:dyDescent="0.25">
      <c r="D980" s="138"/>
      <c r="E980" s="138"/>
      <c r="L980" s="138"/>
      <c r="O980" s="138"/>
      <c r="R980" s="138"/>
      <c r="U980" s="138"/>
      <c r="X980" s="138"/>
    </row>
    <row r="981" spans="4:24" ht="12.75" customHeight="1" x14ac:dyDescent="0.25">
      <c r="D981" s="138"/>
      <c r="E981" s="138"/>
      <c r="L981" s="138"/>
      <c r="O981" s="138"/>
      <c r="R981" s="138"/>
      <c r="U981" s="138"/>
      <c r="X981" s="138"/>
    </row>
    <row r="982" spans="4:24" ht="12.75" customHeight="1" x14ac:dyDescent="0.25">
      <c r="D982" s="138"/>
      <c r="E982" s="138"/>
      <c r="L982" s="138"/>
      <c r="O982" s="138"/>
      <c r="R982" s="138"/>
      <c r="U982" s="138"/>
      <c r="X982" s="138"/>
    </row>
    <row r="983" spans="4:24" ht="12.75" customHeight="1" x14ac:dyDescent="0.25">
      <c r="D983" s="138"/>
      <c r="E983" s="138"/>
      <c r="L983" s="138"/>
      <c r="O983" s="138"/>
      <c r="R983" s="138"/>
      <c r="U983" s="138"/>
      <c r="X983" s="138"/>
    </row>
    <row r="984" spans="4:24" ht="12.75" customHeight="1" x14ac:dyDescent="0.25">
      <c r="D984" s="138"/>
      <c r="E984" s="138"/>
      <c r="L984" s="138"/>
      <c r="O984" s="138"/>
      <c r="R984" s="138"/>
      <c r="U984" s="138"/>
      <c r="X984" s="138"/>
    </row>
    <row r="985" spans="4:24" ht="12.75" customHeight="1" x14ac:dyDescent="0.25">
      <c r="D985" s="138"/>
      <c r="E985" s="138"/>
      <c r="L985" s="138"/>
      <c r="O985" s="138"/>
      <c r="R985" s="138"/>
      <c r="U985" s="138"/>
      <c r="X985" s="138"/>
    </row>
    <row r="986" spans="4:24" ht="12.75" customHeight="1" x14ac:dyDescent="0.25">
      <c r="D986" s="138"/>
      <c r="E986" s="138"/>
      <c r="L986" s="138"/>
      <c r="O986" s="138"/>
      <c r="R986" s="138"/>
      <c r="U986" s="138"/>
      <c r="X986" s="138"/>
    </row>
    <row r="987" spans="4:24" ht="12.75" customHeight="1" x14ac:dyDescent="0.25">
      <c r="D987" s="138"/>
      <c r="E987" s="138"/>
      <c r="L987" s="138"/>
      <c r="O987" s="138"/>
      <c r="R987" s="138"/>
      <c r="U987" s="138"/>
      <c r="X987" s="138"/>
    </row>
    <row r="988" spans="4:24" ht="12.75" customHeight="1" x14ac:dyDescent="0.25">
      <c r="D988" s="138"/>
      <c r="E988" s="138"/>
      <c r="L988" s="138"/>
      <c r="O988" s="138"/>
      <c r="R988" s="138"/>
      <c r="U988" s="138"/>
      <c r="X988" s="138"/>
    </row>
    <row r="989" spans="4:24" ht="12.75" customHeight="1" x14ac:dyDescent="0.25">
      <c r="D989" s="138"/>
      <c r="E989" s="138"/>
      <c r="L989" s="138"/>
      <c r="O989" s="138"/>
      <c r="R989" s="138"/>
      <c r="U989" s="138"/>
      <c r="X989" s="138"/>
    </row>
    <row r="990" spans="4:24" ht="12.75" customHeight="1" x14ac:dyDescent="0.25">
      <c r="D990" s="138"/>
      <c r="E990" s="138"/>
      <c r="L990" s="138"/>
      <c r="O990" s="138"/>
      <c r="R990" s="138"/>
      <c r="U990" s="138"/>
      <c r="X990" s="138"/>
    </row>
    <row r="991" spans="4:24" ht="12.75" customHeight="1" x14ac:dyDescent="0.25">
      <c r="D991" s="138"/>
      <c r="E991" s="138"/>
      <c r="L991" s="138"/>
      <c r="O991" s="138"/>
      <c r="R991" s="138"/>
      <c r="U991" s="138"/>
      <c r="X991" s="138"/>
    </row>
    <row r="992" spans="4:24" ht="12.75" customHeight="1" x14ac:dyDescent="0.25">
      <c r="D992" s="138"/>
      <c r="E992" s="138"/>
      <c r="L992" s="138"/>
      <c r="O992" s="138"/>
      <c r="R992" s="138"/>
      <c r="U992" s="138"/>
      <c r="X992" s="138"/>
    </row>
    <row r="993" spans="4:24" ht="12.75" customHeight="1" x14ac:dyDescent="0.25">
      <c r="D993" s="138"/>
      <c r="E993" s="138"/>
      <c r="L993" s="138"/>
      <c r="O993" s="138"/>
      <c r="R993" s="138"/>
      <c r="U993" s="138"/>
      <c r="X993" s="138"/>
    </row>
    <row r="994" spans="4:24" ht="12.75" customHeight="1" x14ac:dyDescent="0.25">
      <c r="D994" s="138"/>
      <c r="E994" s="138"/>
      <c r="L994" s="138"/>
      <c r="O994" s="138"/>
      <c r="R994" s="138"/>
      <c r="U994" s="138"/>
      <c r="X994" s="138"/>
    </row>
    <row r="995" spans="4:24" ht="12.75" customHeight="1" x14ac:dyDescent="0.25">
      <c r="D995" s="138"/>
      <c r="E995" s="138"/>
      <c r="L995" s="138"/>
      <c r="O995" s="138"/>
      <c r="R995" s="138"/>
      <c r="U995" s="138"/>
      <c r="X995" s="138"/>
    </row>
    <row r="996" spans="4:24" ht="12.75" customHeight="1" x14ac:dyDescent="0.25">
      <c r="D996" s="138"/>
      <c r="E996" s="138"/>
      <c r="L996" s="138"/>
      <c r="O996" s="138"/>
      <c r="R996" s="138"/>
      <c r="U996" s="138"/>
      <c r="X996" s="138"/>
    </row>
    <row r="997" spans="4:24" ht="12.75" customHeight="1" x14ac:dyDescent="0.25">
      <c r="D997" s="138"/>
      <c r="E997" s="138"/>
      <c r="L997" s="138"/>
      <c r="O997" s="138"/>
      <c r="R997" s="138"/>
      <c r="U997" s="138"/>
      <c r="X997" s="138"/>
    </row>
    <row r="998" spans="4:24" ht="12.75" customHeight="1" x14ac:dyDescent="0.25">
      <c r="D998" s="138"/>
      <c r="E998" s="138"/>
      <c r="L998" s="138"/>
      <c r="O998" s="138"/>
      <c r="R998" s="138"/>
      <c r="U998" s="138"/>
      <c r="X998" s="138"/>
    </row>
    <row r="999" spans="4:24" ht="12.75" customHeight="1" x14ac:dyDescent="0.25">
      <c r="D999" s="138"/>
      <c r="E999" s="138"/>
      <c r="L999" s="138"/>
      <c r="O999" s="138"/>
      <c r="R999" s="138"/>
      <c r="U999" s="138"/>
      <c r="X999" s="138"/>
    </row>
    <row r="1000" spans="4:24" ht="12.75" customHeight="1" x14ac:dyDescent="0.25">
      <c r="D1000" s="138"/>
      <c r="E1000" s="138"/>
      <c r="L1000" s="138"/>
      <c r="O1000" s="138"/>
      <c r="R1000" s="138"/>
      <c r="U1000" s="138"/>
      <c r="X1000" s="138"/>
    </row>
  </sheetData>
  <pageMargins left="0.7" right="0.7" top="0.75" bottom="0.75" header="0" footer="0"/>
  <pageSetup orientation="landscape"/>
  <headerFooter>
    <oddHeader>&amp;C&amp;F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X1000"/>
  <sheetViews>
    <sheetView workbookViewId="0">
      <pane xSplit="21" topLeftCell="V1" activePane="topRight" state="frozen"/>
      <selection pane="topRight" activeCell="W2" sqref="W2"/>
    </sheetView>
  </sheetViews>
  <sheetFormatPr baseColWidth="10" defaultColWidth="14.44140625" defaultRowHeight="15" customHeight="1" x14ac:dyDescent="0.25"/>
  <cols>
    <col min="1" max="1" width="14.77734375" customWidth="1"/>
    <col min="2" max="2" width="21.6640625" customWidth="1"/>
    <col min="3" max="3" width="28.44140625" customWidth="1"/>
    <col min="4" max="4" width="7.6640625" customWidth="1"/>
    <col min="5" max="5" width="8" customWidth="1"/>
    <col min="6" max="6" width="5.33203125" customWidth="1"/>
    <col min="7" max="7" width="12.33203125" customWidth="1"/>
    <col min="8" max="8" width="18.33203125" customWidth="1"/>
    <col min="9" max="9" width="2.6640625" customWidth="1"/>
    <col min="10" max="10" width="4.109375" hidden="1" customWidth="1"/>
    <col min="11" max="11" width="10" hidden="1" customWidth="1"/>
    <col min="12" max="12" width="5.6640625" hidden="1" customWidth="1"/>
    <col min="13" max="13" width="6.6640625" hidden="1" customWidth="1"/>
    <col min="14" max="14" width="10" hidden="1" customWidth="1"/>
    <col min="15" max="15" width="7.109375" hidden="1" customWidth="1"/>
    <col min="16" max="16" width="6.6640625" hidden="1" customWidth="1"/>
    <col min="17" max="17" width="10.6640625" hidden="1" customWidth="1"/>
    <col min="18" max="19" width="6.6640625" hidden="1" customWidth="1"/>
    <col min="20" max="20" width="10.6640625" hidden="1" customWidth="1"/>
    <col min="21" max="21" width="6.44140625" hidden="1" customWidth="1"/>
    <col min="22" max="22" width="6.6640625" customWidth="1"/>
    <col min="23" max="26" width="8" customWidth="1"/>
  </cols>
  <sheetData>
    <row r="1" spans="2:24" ht="12.75" customHeight="1" x14ac:dyDescent="0.25">
      <c r="B1" s="96"/>
      <c r="C1" s="96"/>
      <c r="D1" s="97"/>
      <c r="E1" s="97"/>
      <c r="F1" s="96"/>
      <c r="G1" s="96"/>
      <c r="H1" s="96"/>
      <c r="L1" s="138"/>
      <c r="O1" s="138"/>
      <c r="R1" s="138"/>
      <c r="U1" s="138"/>
      <c r="X1" s="138"/>
    </row>
    <row r="2" spans="2:24" ht="12.75" customHeight="1" x14ac:dyDescent="0.25">
      <c r="B2" s="96"/>
      <c r="C2" s="96"/>
      <c r="D2" s="97"/>
      <c r="E2" s="97"/>
      <c r="F2" s="96"/>
      <c r="G2" s="96"/>
      <c r="H2" s="96"/>
      <c r="L2" s="138"/>
      <c r="O2" s="138"/>
      <c r="R2" s="138"/>
      <c r="U2" s="138"/>
      <c r="X2" s="138"/>
    </row>
    <row r="3" spans="2:24" ht="12.75" customHeight="1" x14ac:dyDescent="0.25">
      <c r="B3" s="96"/>
      <c r="C3" s="96"/>
      <c r="D3" s="97"/>
      <c r="E3" s="97"/>
      <c r="F3" s="96"/>
      <c r="G3" s="96"/>
      <c r="H3" s="96"/>
      <c r="L3" s="138"/>
      <c r="O3" s="138"/>
      <c r="R3" s="138"/>
      <c r="U3" s="138"/>
      <c r="X3" s="138"/>
    </row>
    <row r="4" spans="2:24" ht="12.75" customHeight="1" x14ac:dyDescent="0.25">
      <c r="B4" s="96"/>
      <c r="C4" s="96"/>
      <c r="D4" s="97"/>
      <c r="E4" s="97"/>
      <c r="F4" s="96"/>
      <c r="G4" s="96"/>
      <c r="H4" s="96"/>
      <c r="L4" s="138"/>
      <c r="O4" s="138"/>
      <c r="R4" s="138"/>
      <c r="U4" s="138"/>
      <c r="X4" s="138"/>
    </row>
    <row r="5" spans="2:24" ht="12.75" customHeight="1" x14ac:dyDescent="0.25">
      <c r="B5" s="96"/>
      <c r="C5" s="96"/>
      <c r="D5" s="97"/>
      <c r="E5" s="97"/>
      <c r="F5" s="96"/>
      <c r="G5" s="96"/>
      <c r="H5" s="96"/>
      <c r="L5" s="138"/>
      <c r="O5" s="138"/>
      <c r="R5" s="138"/>
      <c r="U5" s="138"/>
      <c r="X5" s="138"/>
    </row>
    <row r="6" spans="2:24" ht="12.75" customHeight="1" x14ac:dyDescent="0.25">
      <c r="B6" s="96"/>
      <c r="C6" s="96"/>
      <c r="D6" s="97"/>
      <c r="E6" s="97"/>
      <c r="F6" s="96"/>
      <c r="G6" s="96"/>
      <c r="H6" s="96"/>
      <c r="L6" s="138"/>
      <c r="O6" s="138"/>
      <c r="R6" s="138"/>
      <c r="U6" s="138"/>
      <c r="X6" s="138"/>
    </row>
    <row r="7" spans="2:24" ht="12.75" customHeight="1" x14ac:dyDescent="0.25">
      <c r="B7" s="96"/>
      <c r="C7" s="96"/>
      <c r="D7" s="97"/>
      <c r="E7" s="97"/>
      <c r="F7" s="96"/>
      <c r="G7" s="96"/>
      <c r="H7" s="96"/>
      <c r="L7" s="138"/>
      <c r="O7" s="138"/>
      <c r="R7" s="138"/>
      <c r="U7" s="138"/>
      <c r="X7" s="138"/>
    </row>
    <row r="8" spans="2:24" ht="12.75" customHeight="1" x14ac:dyDescent="0.25">
      <c r="B8" s="96"/>
      <c r="C8" s="96"/>
      <c r="D8" s="97"/>
      <c r="E8" s="97"/>
      <c r="F8" s="96"/>
      <c r="G8" s="96"/>
      <c r="H8" s="96"/>
      <c r="L8" s="138"/>
      <c r="O8" s="138"/>
      <c r="R8" s="138"/>
      <c r="U8" s="138"/>
      <c r="X8" s="138"/>
    </row>
    <row r="9" spans="2:24" ht="12.75" customHeight="1" x14ac:dyDescent="0.25">
      <c r="B9" s="96"/>
      <c r="C9" s="96"/>
      <c r="D9" s="97"/>
      <c r="E9" s="97"/>
      <c r="F9" s="96"/>
      <c r="G9" s="96"/>
      <c r="H9" s="96"/>
      <c r="L9" s="138"/>
      <c r="O9" s="138"/>
      <c r="R9" s="138"/>
      <c r="U9" s="138"/>
      <c r="X9" s="138"/>
    </row>
    <row r="10" spans="2:24" ht="12.75" customHeight="1" x14ac:dyDescent="0.25">
      <c r="B10" s="96"/>
      <c r="C10" s="96"/>
      <c r="D10" s="97"/>
      <c r="E10" s="97"/>
      <c r="F10" s="96"/>
      <c r="G10" s="96"/>
      <c r="H10" s="96"/>
      <c r="L10" s="138"/>
      <c r="O10" s="138"/>
      <c r="R10" s="138"/>
      <c r="U10" s="138"/>
      <c r="X10" s="138"/>
    </row>
    <row r="11" spans="2:24" ht="12.75" customHeight="1" x14ac:dyDescent="0.25">
      <c r="B11" s="96"/>
      <c r="C11" s="96"/>
      <c r="D11" s="97"/>
      <c r="E11" s="97"/>
      <c r="F11" s="96"/>
      <c r="G11" s="96"/>
      <c r="H11" s="96"/>
      <c r="L11" s="138"/>
      <c r="O11" s="138"/>
      <c r="R11" s="138"/>
      <c r="U11" s="138"/>
      <c r="X11" s="138"/>
    </row>
    <row r="12" spans="2:24" ht="12.75" customHeight="1" x14ac:dyDescent="0.25">
      <c r="B12" s="96"/>
      <c r="C12" s="96"/>
      <c r="D12" s="97"/>
      <c r="E12" s="97"/>
      <c r="F12" s="96"/>
      <c r="G12" s="96"/>
      <c r="H12" s="96"/>
      <c r="L12" s="138"/>
      <c r="O12" s="138"/>
      <c r="R12" s="138"/>
      <c r="U12" s="138"/>
      <c r="X12" s="138"/>
    </row>
    <row r="13" spans="2:24" ht="12.75" customHeight="1" x14ac:dyDescent="0.25">
      <c r="B13" s="96"/>
      <c r="C13" s="96"/>
      <c r="D13" s="97"/>
      <c r="E13" s="97"/>
      <c r="F13" s="96"/>
      <c r="G13" s="96"/>
      <c r="H13" s="96"/>
      <c r="L13" s="138"/>
      <c r="O13" s="138"/>
      <c r="R13" s="138"/>
      <c r="U13" s="138"/>
      <c r="X13" s="138"/>
    </row>
    <row r="14" spans="2:24" ht="12.75" customHeight="1" x14ac:dyDescent="0.25">
      <c r="B14" s="96"/>
      <c r="C14" s="96"/>
      <c r="D14" s="97"/>
      <c r="E14" s="97"/>
      <c r="F14" s="96"/>
      <c r="G14" s="96"/>
      <c r="H14" s="96"/>
      <c r="L14" s="138"/>
      <c r="O14" s="138"/>
      <c r="R14" s="138"/>
      <c r="U14" s="138"/>
      <c r="X14" s="138"/>
    </row>
    <row r="15" spans="2:24" ht="12.75" customHeight="1" x14ac:dyDescent="0.25">
      <c r="B15" s="96"/>
      <c r="C15" s="96"/>
      <c r="D15" s="97"/>
      <c r="E15" s="97"/>
      <c r="F15" s="96"/>
      <c r="G15" s="96"/>
      <c r="H15" s="96"/>
      <c r="L15" s="138"/>
      <c r="O15" s="138"/>
      <c r="R15" s="138"/>
      <c r="U15" s="138"/>
      <c r="X15" s="138"/>
    </row>
    <row r="16" spans="2:24" ht="12.75" customHeight="1" x14ac:dyDescent="0.25">
      <c r="B16" s="96"/>
      <c r="C16" s="96"/>
      <c r="D16" s="97"/>
      <c r="E16" s="97"/>
      <c r="F16" s="96"/>
      <c r="G16" s="96"/>
      <c r="H16" s="96"/>
      <c r="L16" s="138"/>
      <c r="O16" s="138"/>
      <c r="R16" s="138"/>
      <c r="U16" s="138"/>
      <c r="X16" s="138"/>
    </row>
    <row r="17" spans="2:24" ht="12.75" customHeight="1" x14ac:dyDescent="0.25">
      <c r="B17" s="96"/>
      <c r="C17" s="96"/>
      <c r="D17" s="97"/>
      <c r="E17" s="97"/>
      <c r="F17" s="96"/>
      <c r="G17" s="96"/>
      <c r="H17" s="96"/>
      <c r="L17" s="138"/>
      <c r="O17" s="138"/>
      <c r="R17" s="138"/>
      <c r="U17" s="138"/>
      <c r="X17" s="138"/>
    </row>
    <row r="18" spans="2:24" ht="12.75" customHeight="1" x14ac:dyDescent="0.25">
      <c r="B18" s="96"/>
      <c r="C18" s="96"/>
      <c r="D18" s="97"/>
      <c r="E18" s="97"/>
      <c r="F18" s="96"/>
      <c r="G18" s="96"/>
      <c r="H18" s="96"/>
      <c r="L18" s="138"/>
      <c r="O18" s="138"/>
      <c r="R18" s="138"/>
      <c r="U18" s="138"/>
      <c r="X18" s="138"/>
    </row>
    <row r="19" spans="2:24" ht="12.75" customHeight="1" x14ac:dyDescent="0.25">
      <c r="B19" s="96"/>
      <c r="C19" s="96"/>
      <c r="D19" s="97"/>
      <c r="E19" s="97"/>
      <c r="F19" s="96"/>
      <c r="G19" s="96"/>
      <c r="H19" s="96"/>
      <c r="L19" s="138"/>
      <c r="O19" s="138"/>
      <c r="R19" s="138"/>
      <c r="U19" s="138"/>
      <c r="X19" s="138"/>
    </row>
    <row r="20" spans="2:24" ht="12.75" customHeight="1" x14ac:dyDescent="0.25">
      <c r="B20" s="96"/>
      <c r="C20" s="96"/>
      <c r="D20" s="97"/>
      <c r="E20" s="97"/>
      <c r="F20" s="96"/>
      <c r="G20" s="96"/>
      <c r="H20" s="96"/>
      <c r="L20" s="138"/>
      <c r="O20" s="138"/>
      <c r="R20" s="138"/>
      <c r="U20" s="138"/>
      <c r="X20" s="138"/>
    </row>
    <row r="21" spans="2:24" ht="12.75" customHeight="1" x14ac:dyDescent="0.25">
      <c r="B21" s="96"/>
      <c r="C21" s="96"/>
      <c r="D21" s="97"/>
      <c r="E21" s="97"/>
      <c r="F21" s="96"/>
      <c r="G21" s="96"/>
      <c r="H21" s="96"/>
      <c r="L21" s="138"/>
      <c r="O21" s="138"/>
      <c r="R21" s="138"/>
      <c r="U21" s="138"/>
      <c r="X21" s="138"/>
    </row>
    <row r="22" spans="2:24" ht="12.75" customHeight="1" x14ac:dyDescent="0.25">
      <c r="B22" s="96"/>
      <c r="C22" s="96"/>
      <c r="D22" s="97"/>
      <c r="E22" s="97"/>
      <c r="F22" s="96"/>
      <c r="G22" s="96"/>
      <c r="H22" s="96"/>
      <c r="L22" s="138"/>
      <c r="O22" s="138"/>
      <c r="R22" s="138"/>
      <c r="U22" s="138"/>
      <c r="X22" s="138"/>
    </row>
    <row r="23" spans="2:24" ht="12.75" customHeight="1" x14ac:dyDescent="0.25">
      <c r="B23" s="96"/>
      <c r="C23" s="96"/>
      <c r="D23" s="97"/>
      <c r="E23" s="97"/>
      <c r="F23" s="96"/>
      <c r="G23" s="96"/>
      <c r="H23" s="96"/>
      <c r="L23" s="138"/>
      <c r="O23" s="138"/>
      <c r="R23" s="138"/>
      <c r="U23" s="138"/>
      <c r="X23" s="138"/>
    </row>
    <row r="24" spans="2:24" ht="12.75" customHeight="1" x14ac:dyDescent="0.25">
      <c r="B24" s="96"/>
      <c r="C24" s="96"/>
      <c r="D24" s="97"/>
      <c r="E24" s="97"/>
      <c r="F24" s="96"/>
      <c r="G24" s="96"/>
      <c r="H24" s="96"/>
      <c r="L24" s="138"/>
      <c r="O24" s="138"/>
      <c r="R24" s="138"/>
      <c r="U24" s="138"/>
      <c r="X24" s="138"/>
    </row>
    <row r="25" spans="2:24" ht="12.75" customHeight="1" x14ac:dyDescent="0.25">
      <c r="B25" s="96"/>
      <c r="C25" s="96"/>
      <c r="D25" s="97"/>
      <c r="E25" s="97"/>
      <c r="F25" s="96"/>
      <c r="G25" s="96"/>
      <c r="H25" s="96"/>
      <c r="L25" s="138"/>
      <c r="O25" s="138"/>
      <c r="R25" s="138"/>
      <c r="U25" s="138"/>
      <c r="X25" s="138"/>
    </row>
    <row r="26" spans="2:24" ht="12.75" customHeight="1" x14ac:dyDescent="0.25">
      <c r="B26" s="96"/>
      <c r="C26" s="96"/>
      <c r="D26" s="97"/>
      <c r="E26" s="97"/>
      <c r="F26" s="96"/>
      <c r="G26" s="96"/>
      <c r="H26" s="96"/>
      <c r="L26" s="138"/>
      <c r="O26" s="138"/>
      <c r="R26" s="138"/>
      <c r="U26" s="138"/>
      <c r="X26" s="138"/>
    </row>
    <row r="27" spans="2:24" ht="12.75" customHeight="1" x14ac:dyDescent="0.25">
      <c r="B27" s="96"/>
      <c r="C27" s="96"/>
      <c r="D27" s="97"/>
      <c r="E27" s="97"/>
      <c r="F27" s="96"/>
      <c r="G27" s="96"/>
      <c r="H27" s="96"/>
      <c r="L27" s="138"/>
      <c r="O27" s="138"/>
      <c r="R27" s="138"/>
      <c r="U27" s="138"/>
      <c r="X27" s="138"/>
    </row>
    <row r="28" spans="2:24" ht="12.75" customHeight="1" x14ac:dyDescent="0.25">
      <c r="B28" s="96"/>
      <c r="C28" s="96"/>
      <c r="D28" s="97"/>
      <c r="E28" s="97"/>
      <c r="F28" s="96"/>
      <c r="G28" s="96"/>
      <c r="H28" s="96"/>
      <c r="L28" s="138"/>
      <c r="O28" s="138"/>
      <c r="R28" s="138"/>
      <c r="U28" s="138"/>
      <c r="X28" s="138"/>
    </row>
    <row r="29" spans="2:24" ht="12.75" customHeight="1" x14ac:dyDescent="0.25">
      <c r="B29" s="96"/>
      <c r="C29" s="96"/>
      <c r="D29" s="97"/>
      <c r="E29" s="97"/>
      <c r="F29" s="96"/>
      <c r="G29" s="96"/>
      <c r="H29" s="96"/>
      <c r="L29" s="138"/>
      <c r="O29" s="138"/>
      <c r="R29" s="138"/>
      <c r="U29" s="138"/>
      <c r="X29" s="138"/>
    </row>
    <row r="30" spans="2:24" ht="12.75" customHeight="1" x14ac:dyDescent="0.25">
      <c r="B30" s="96"/>
      <c r="C30" s="96"/>
      <c r="D30" s="97"/>
      <c r="E30" s="97"/>
      <c r="F30" s="96"/>
      <c r="G30" s="96"/>
      <c r="H30" s="96"/>
      <c r="L30" s="138"/>
      <c r="O30" s="138"/>
      <c r="R30" s="138"/>
      <c r="U30" s="138"/>
      <c r="X30" s="138"/>
    </row>
    <row r="31" spans="2:24" ht="12.75" customHeight="1" x14ac:dyDescent="0.25">
      <c r="B31" s="96"/>
      <c r="C31" s="96"/>
      <c r="D31" s="97"/>
      <c r="E31" s="97"/>
      <c r="F31" s="96"/>
      <c r="G31" s="96"/>
      <c r="H31" s="96"/>
      <c r="L31" s="138"/>
      <c r="O31" s="138"/>
      <c r="R31" s="138"/>
      <c r="U31" s="138"/>
      <c r="X31" s="138"/>
    </row>
    <row r="32" spans="2:24" ht="12.75" customHeight="1" x14ac:dyDescent="0.25">
      <c r="B32" s="96"/>
      <c r="C32" s="96"/>
      <c r="D32" s="97"/>
      <c r="E32" s="97"/>
      <c r="F32" s="96"/>
      <c r="G32" s="96"/>
      <c r="H32" s="96"/>
      <c r="L32" s="138"/>
      <c r="O32" s="138"/>
      <c r="R32" s="138"/>
      <c r="U32" s="138"/>
      <c r="X32" s="138"/>
    </row>
    <row r="33" spans="2:24" ht="12.75" customHeight="1" x14ac:dyDescent="0.25">
      <c r="B33" s="96"/>
      <c r="C33" s="96"/>
      <c r="D33" s="97"/>
      <c r="E33" s="97"/>
      <c r="F33" s="96"/>
      <c r="G33" s="96"/>
      <c r="H33" s="96"/>
      <c r="L33" s="138"/>
      <c r="O33" s="138"/>
      <c r="R33" s="138"/>
      <c r="U33" s="138"/>
      <c r="X33" s="138"/>
    </row>
    <row r="34" spans="2:24" ht="12.75" customHeight="1" x14ac:dyDescent="0.25">
      <c r="B34" s="96"/>
      <c r="C34" s="96"/>
      <c r="D34" s="97"/>
      <c r="E34" s="97"/>
      <c r="F34" s="96"/>
      <c r="G34" s="96"/>
      <c r="H34" s="96"/>
      <c r="L34" s="138"/>
      <c r="O34" s="138"/>
      <c r="R34" s="138"/>
      <c r="U34" s="138"/>
      <c r="X34" s="138"/>
    </row>
    <row r="35" spans="2:24" ht="12.75" customHeight="1" x14ac:dyDescent="0.25">
      <c r="B35" s="96"/>
      <c r="C35" s="96"/>
      <c r="D35" s="97"/>
      <c r="E35" s="97"/>
      <c r="F35" s="96"/>
      <c r="G35" s="96"/>
      <c r="H35" s="96"/>
      <c r="L35" s="138"/>
      <c r="O35" s="138"/>
      <c r="R35" s="138"/>
      <c r="U35" s="138"/>
      <c r="X35" s="138"/>
    </row>
    <row r="36" spans="2:24" ht="12.75" customHeight="1" x14ac:dyDescent="0.25">
      <c r="B36" s="96"/>
      <c r="C36" s="96"/>
      <c r="D36" s="97"/>
      <c r="E36" s="97"/>
      <c r="F36" s="96"/>
      <c r="G36" s="96"/>
      <c r="H36" s="96"/>
      <c r="L36" s="138"/>
      <c r="O36" s="138"/>
      <c r="R36" s="138"/>
      <c r="U36" s="138"/>
      <c r="X36" s="138"/>
    </row>
    <row r="37" spans="2:24" ht="12.75" customHeight="1" x14ac:dyDescent="0.25">
      <c r="B37" s="96"/>
      <c r="C37" s="96"/>
      <c r="D37" s="97"/>
      <c r="E37" s="97"/>
      <c r="F37" s="96"/>
      <c r="G37" s="96"/>
      <c r="H37" s="96"/>
      <c r="L37" s="138"/>
      <c r="O37" s="138"/>
      <c r="R37" s="138"/>
      <c r="U37" s="138"/>
      <c r="X37" s="138"/>
    </row>
    <row r="38" spans="2:24" ht="12.75" customHeight="1" x14ac:dyDescent="0.25">
      <c r="B38" s="96"/>
      <c r="C38" s="96"/>
      <c r="D38" s="97"/>
      <c r="E38" s="97"/>
      <c r="F38" s="96"/>
      <c r="G38" s="96"/>
      <c r="H38" s="96"/>
      <c r="L38" s="138"/>
      <c r="O38" s="138"/>
      <c r="R38" s="138"/>
      <c r="U38" s="138"/>
      <c r="X38" s="138"/>
    </row>
    <row r="39" spans="2:24" ht="12.75" customHeight="1" x14ac:dyDescent="0.25">
      <c r="B39" s="96"/>
      <c r="C39" s="96"/>
      <c r="D39" s="97"/>
      <c r="E39" s="97"/>
      <c r="F39" s="96"/>
      <c r="G39" s="96"/>
      <c r="H39" s="96"/>
      <c r="L39" s="138"/>
      <c r="O39" s="138"/>
      <c r="R39" s="138"/>
      <c r="U39" s="138"/>
      <c r="X39" s="138"/>
    </row>
    <row r="40" spans="2:24" ht="12.75" customHeight="1" x14ac:dyDescent="0.25">
      <c r="B40" s="96"/>
      <c r="C40" s="96"/>
      <c r="D40" s="97"/>
      <c r="E40" s="97"/>
      <c r="F40" s="96"/>
      <c r="G40" s="96"/>
      <c r="H40" s="96"/>
      <c r="L40" s="138"/>
      <c r="O40" s="138"/>
      <c r="R40" s="138"/>
      <c r="U40" s="138"/>
      <c r="X40" s="138"/>
    </row>
    <row r="41" spans="2:24" ht="12.75" customHeight="1" x14ac:dyDescent="0.25">
      <c r="B41" s="96"/>
      <c r="C41" s="96"/>
      <c r="D41" s="97"/>
      <c r="E41" s="97"/>
      <c r="F41" s="96"/>
      <c r="G41" s="96"/>
      <c r="H41" s="96"/>
      <c r="L41" s="138"/>
      <c r="O41" s="138"/>
      <c r="R41" s="138"/>
      <c r="U41" s="138"/>
      <c r="X41" s="138"/>
    </row>
    <row r="42" spans="2:24" ht="12.75" customHeight="1" x14ac:dyDescent="0.25">
      <c r="B42" s="96"/>
      <c r="C42" s="96"/>
      <c r="D42" s="97"/>
      <c r="E42" s="97"/>
      <c r="F42" s="96"/>
      <c r="G42" s="96"/>
      <c r="H42" s="96"/>
      <c r="L42" s="138"/>
      <c r="O42" s="138"/>
      <c r="R42" s="138"/>
      <c r="U42" s="138"/>
      <c r="X42" s="138"/>
    </row>
    <row r="43" spans="2:24" ht="12.75" customHeight="1" x14ac:dyDescent="0.25">
      <c r="B43" s="96"/>
      <c r="C43" s="96"/>
      <c r="D43" s="97"/>
      <c r="E43" s="97"/>
      <c r="F43" s="96"/>
      <c r="G43" s="96"/>
      <c r="H43" s="96"/>
      <c r="L43" s="138"/>
      <c r="O43" s="138"/>
      <c r="R43" s="138"/>
      <c r="U43" s="138"/>
      <c r="X43" s="138"/>
    </row>
    <row r="44" spans="2:24" ht="12.75" customHeight="1" x14ac:dyDescent="0.25">
      <c r="B44" s="96"/>
      <c r="C44" s="96"/>
      <c r="D44" s="97"/>
      <c r="E44" s="97"/>
      <c r="F44" s="96"/>
      <c r="G44" s="96"/>
      <c r="H44" s="96"/>
      <c r="L44" s="138"/>
      <c r="O44" s="138"/>
      <c r="R44" s="138"/>
      <c r="U44" s="138"/>
      <c r="X44" s="138"/>
    </row>
    <row r="45" spans="2:24" ht="12.75" customHeight="1" x14ac:dyDescent="0.25">
      <c r="B45" s="96"/>
      <c r="C45" s="96"/>
      <c r="D45" s="97"/>
      <c r="E45" s="97"/>
      <c r="F45" s="96"/>
      <c r="G45" s="96"/>
      <c r="H45" s="96"/>
      <c r="L45" s="138"/>
      <c r="O45" s="138"/>
      <c r="R45" s="138"/>
      <c r="U45" s="138"/>
      <c r="X45" s="138"/>
    </row>
    <row r="46" spans="2:24" ht="12.75" customHeight="1" x14ac:dyDescent="0.25">
      <c r="B46" s="96"/>
      <c r="C46" s="96"/>
      <c r="D46" s="97"/>
      <c r="E46" s="97"/>
      <c r="F46" s="96"/>
      <c r="G46" s="96"/>
      <c r="H46" s="96"/>
      <c r="L46" s="138"/>
      <c r="O46" s="138"/>
      <c r="R46" s="138"/>
      <c r="U46" s="138"/>
      <c r="X46" s="138"/>
    </row>
    <row r="47" spans="2:24" ht="12.75" customHeight="1" x14ac:dyDescent="0.25">
      <c r="B47" s="96"/>
      <c r="C47" s="96"/>
      <c r="D47" s="97"/>
      <c r="E47" s="97"/>
      <c r="F47" s="96"/>
      <c r="G47" s="96"/>
      <c r="H47" s="96"/>
      <c r="L47" s="138"/>
      <c r="O47" s="138"/>
      <c r="R47" s="138"/>
      <c r="U47" s="138"/>
      <c r="X47" s="138"/>
    </row>
    <row r="48" spans="2:24" ht="12.75" customHeight="1" x14ac:dyDescent="0.25">
      <c r="B48" s="96"/>
      <c r="C48" s="96"/>
      <c r="D48" s="97"/>
      <c r="E48" s="97"/>
      <c r="F48" s="96"/>
      <c r="G48" s="96"/>
      <c r="H48" s="96"/>
      <c r="L48" s="138"/>
      <c r="O48" s="138"/>
      <c r="R48" s="138"/>
      <c r="U48" s="138"/>
      <c r="X48" s="138"/>
    </row>
    <row r="49" spans="2:24" ht="12.75" customHeight="1" x14ac:dyDescent="0.25">
      <c r="B49" s="96"/>
      <c r="C49" s="96"/>
      <c r="D49" s="97"/>
      <c r="E49" s="97"/>
      <c r="F49" s="96"/>
      <c r="G49" s="96"/>
      <c r="H49" s="96"/>
      <c r="L49" s="138"/>
      <c r="O49" s="138"/>
      <c r="R49" s="138"/>
      <c r="U49" s="138"/>
      <c r="X49" s="138"/>
    </row>
    <row r="50" spans="2:24" ht="12.75" customHeight="1" x14ac:dyDescent="0.25">
      <c r="B50" s="96"/>
      <c r="C50" s="96"/>
      <c r="D50" s="97"/>
      <c r="E50" s="97"/>
      <c r="F50" s="96"/>
      <c r="G50" s="96"/>
      <c r="H50" s="96"/>
      <c r="L50" s="138"/>
      <c r="O50" s="138"/>
      <c r="R50" s="138"/>
      <c r="U50" s="138"/>
      <c r="X50" s="138"/>
    </row>
    <row r="51" spans="2:24" ht="12.75" customHeight="1" x14ac:dyDescent="0.25">
      <c r="B51" s="96"/>
      <c r="C51" s="96"/>
      <c r="D51" s="97"/>
      <c r="E51" s="97"/>
      <c r="F51" s="96"/>
      <c r="G51" s="96"/>
      <c r="H51" s="96"/>
      <c r="L51" s="138"/>
      <c r="O51" s="138"/>
      <c r="R51" s="138"/>
      <c r="U51" s="138"/>
      <c r="X51" s="138"/>
    </row>
    <row r="52" spans="2:24" ht="12.75" customHeight="1" x14ac:dyDescent="0.25">
      <c r="B52" s="96"/>
      <c r="C52" s="96"/>
      <c r="D52" s="97"/>
      <c r="E52" s="97"/>
      <c r="F52" s="96"/>
      <c r="G52" s="96"/>
      <c r="H52" s="96"/>
      <c r="L52" s="138"/>
      <c r="O52" s="138"/>
      <c r="R52" s="138"/>
      <c r="U52" s="138"/>
      <c r="X52" s="138"/>
    </row>
    <row r="53" spans="2:24" ht="12.75" customHeight="1" x14ac:dyDescent="0.25">
      <c r="B53" s="96"/>
      <c r="C53" s="96"/>
      <c r="D53" s="97"/>
      <c r="E53" s="97"/>
      <c r="F53" s="96"/>
      <c r="G53" s="96"/>
      <c r="H53" s="96"/>
      <c r="L53" s="138"/>
      <c r="O53" s="138"/>
      <c r="R53" s="138"/>
      <c r="U53" s="138"/>
      <c r="X53" s="138"/>
    </row>
    <row r="54" spans="2:24" ht="12.75" customHeight="1" x14ac:dyDescent="0.25">
      <c r="B54" s="96"/>
      <c r="C54" s="96"/>
      <c r="D54" s="97"/>
      <c r="E54" s="97"/>
      <c r="F54" s="96"/>
      <c r="G54" s="96"/>
      <c r="H54" s="96"/>
      <c r="L54" s="138"/>
      <c r="O54" s="138"/>
      <c r="R54" s="138"/>
      <c r="U54" s="138"/>
      <c r="X54" s="138"/>
    </row>
    <row r="55" spans="2:24" ht="12.75" customHeight="1" x14ac:dyDescent="0.25">
      <c r="B55" s="96"/>
      <c r="C55" s="96"/>
      <c r="D55" s="97"/>
      <c r="E55" s="97"/>
      <c r="F55" s="96"/>
      <c r="G55" s="96"/>
      <c r="H55" s="96"/>
      <c r="L55" s="138"/>
      <c r="O55" s="138"/>
      <c r="R55" s="138"/>
      <c r="U55" s="138"/>
      <c r="X55" s="138"/>
    </row>
    <row r="56" spans="2:24" ht="12.75" customHeight="1" x14ac:dyDescent="0.25">
      <c r="B56" s="96"/>
      <c r="C56" s="96"/>
      <c r="D56" s="97"/>
      <c r="E56" s="97"/>
      <c r="F56" s="96"/>
      <c r="G56" s="96"/>
      <c r="H56" s="96"/>
      <c r="L56" s="138"/>
      <c r="O56" s="138"/>
      <c r="R56" s="138"/>
      <c r="U56" s="138"/>
      <c r="X56" s="138"/>
    </row>
    <row r="57" spans="2:24" ht="12.75" customHeight="1" x14ac:dyDescent="0.25">
      <c r="B57" s="96"/>
      <c r="C57" s="96"/>
      <c r="D57" s="97"/>
      <c r="E57" s="97"/>
      <c r="F57" s="96"/>
      <c r="G57" s="96"/>
      <c r="H57" s="96"/>
      <c r="L57" s="138"/>
      <c r="O57" s="138"/>
      <c r="R57" s="138"/>
      <c r="U57" s="138"/>
      <c r="X57" s="138"/>
    </row>
    <row r="58" spans="2:24" ht="12.75" customHeight="1" x14ac:dyDescent="0.25">
      <c r="B58" s="96"/>
      <c r="C58" s="96"/>
      <c r="D58" s="97"/>
      <c r="E58" s="97"/>
      <c r="F58" s="96"/>
      <c r="G58" s="96"/>
      <c r="H58" s="96"/>
      <c r="L58" s="138"/>
      <c r="O58" s="138"/>
      <c r="R58" s="138"/>
      <c r="U58" s="138"/>
      <c r="X58" s="138"/>
    </row>
    <row r="59" spans="2:24" ht="12.75" customHeight="1" x14ac:dyDescent="0.25">
      <c r="B59" s="96"/>
      <c r="C59" s="96"/>
      <c r="D59" s="138"/>
      <c r="E59" s="138"/>
      <c r="F59" s="96"/>
      <c r="G59" s="96"/>
      <c r="H59" s="96"/>
      <c r="L59" s="138"/>
      <c r="O59" s="138"/>
      <c r="R59" s="138"/>
      <c r="U59" s="138"/>
      <c r="X59" s="138"/>
    </row>
    <row r="60" spans="2:24" ht="12.75" customHeight="1" x14ac:dyDescent="0.25">
      <c r="B60" s="96"/>
      <c r="C60" s="96"/>
      <c r="D60" s="138"/>
      <c r="E60" s="138"/>
      <c r="G60" s="96"/>
      <c r="H60" s="96"/>
      <c r="L60" s="138"/>
      <c r="O60" s="138"/>
      <c r="R60" s="138"/>
      <c r="U60" s="138"/>
      <c r="X60" s="138"/>
    </row>
    <row r="61" spans="2:24" ht="12.75" customHeight="1" x14ac:dyDescent="0.25">
      <c r="D61" s="138"/>
      <c r="E61" s="138"/>
      <c r="L61" s="138"/>
      <c r="O61" s="138"/>
      <c r="R61" s="138"/>
      <c r="U61" s="138"/>
      <c r="X61" s="138"/>
    </row>
    <row r="62" spans="2:24" ht="12.75" customHeight="1" x14ac:dyDescent="0.25">
      <c r="D62" s="138"/>
      <c r="E62" s="138"/>
      <c r="L62" s="138"/>
      <c r="O62" s="138"/>
      <c r="R62" s="138"/>
      <c r="U62" s="138"/>
      <c r="X62" s="138"/>
    </row>
    <row r="63" spans="2:24" ht="12.75" customHeight="1" x14ac:dyDescent="0.25">
      <c r="D63" s="138"/>
      <c r="E63" s="138"/>
      <c r="L63" s="138"/>
      <c r="O63" s="138"/>
      <c r="R63" s="138"/>
      <c r="U63" s="138"/>
      <c r="X63" s="138"/>
    </row>
    <row r="64" spans="2:24" ht="12.75" customHeight="1" x14ac:dyDescent="0.25">
      <c r="D64" s="138"/>
      <c r="E64" s="138"/>
      <c r="L64" s="138"/>
      <c r="O64" s="138"/>
      <c r="R64" s="138"/>
      <c r="U64" s="138"/>
      <c r="X64" s="138"/>
    </row>
    <row r="65" spans="4:24" ht="12.75" customHeight="1" x14ac:dyDescent="0.25">
      <c r="D65" s="138"/>
      <c r="E65" s="138"/>
      <c r="L65" s="138"/>
      <c r="O65" s="138"/>
      <c r="R65" s="138"/>
      <c r="U65" s="138"/>
      <c r="X65" s="138"/>
    </row>
    <row r="66" spans="4:24" ht="12.75" customHeight="1" x14ac:dyDescent="0.25">
      <c r="D66" s="138"/>
      <c r="E66" s="138"/>
      <c r="L66" s="138"/>
      <c r="O66" s="138"/>
      <c r="R66" s="138"/>
      <c r="U66" s="138"/>
      <c r="X66" s="138"/>
    </row>
    <row r="67" spans="4:24" ht="12.75" customHeight="1" x14ac:dyDescent="0.25">
      <c r="D67" s="138"/>
      <c r="E67" s="138"/>
      <c r="L67" s="138"/>
      <c r="O67" s="138"/>
      <c r="R67" s="138"/>
      <c r="U67" s="138"/>
      <c r="X67" s="138"/>
    </row>
    <row r="68" spans="4:24" ht="12.75" customHeight="1" x14ac:dyDescent="0.25">
      <c r="D68" s="138"/>
      <c r="E68" s="138"/>
      <c r="L68" s="138"/>
      <c r="O68" s="138"/>
      <c r="R68" s="138"/>
      <c r="U68" s="138"/>
      <c r="X68" s="138"/>
    </row>
    <row r="69" spans="4:24" ht="12.75" customHeight="1" x14ac:dyDescent="0.25">
      <c r="D69" s="138"/>
      <c r="E69" s="138"/>
      <c r="L69" s="138"/>
      <c r="O69" s="138"/>
      <c r="R69" s="138"/>
      <c r="U69" s="138"/>
      <c r="X69" s="138"/>
    </row>
    <row r="70" spans="4:24" ht="12.75" customHeight="1" x14ac:dyDescent="0.25">
      <c r="D70" s="138"/>
      <c r="E70" s="138"/>
      <c r="L70" s="138"/>
      <c r="O70" s="138"/>
      <c r="R70" s="138"/>
      <c r="U70" s="138"/>
      <c r="X70" s="138"/>
    </row>
    <row r="71" spans="4:24" ht="12.75" customHeight="1" x14ac:dyDescent="0.25">
      <c r="D71" s="138"/>
      <c r="E71" s="138"/>
      <c r="L71" s="138"/>
      <c r="O71" s="138"/>
      <c r="R71" s="138"/>
      <c r="U71" s="138"/>
      <c r="X71" s="138"/>
    </row>
    <row r="72" spans="4:24" ht="12.75" customHeight="1" x14ac:dyDescent="0.25">
      <c r="D72" s="138"/>
      <c r="E72" s="138"/>
      <c r="L72" s="138"/>
      <c r="O72" s="138"/>
      <c r="R72" s="138"/>
      <c r="U72" s="138"/>
      <c r="X72" s="138"/>
    </row>
    <row r="73" spans="4:24" ht="12.75" customHeight="1" x14ac:dyDescent="0.25">
      <c r="D73" s="138"/>
      <c r="E73" s="138"/>
      <c r="L73" s="138"/>
      <c r="O73" s="138"/>
      <c r="R73" s="138"/>
      <c r="U73" s="138"/>
      <c r="X73" s="138"/>
    </row>
    <row r="74" spans="4:24" ht="12.75" customHeight="1" x14ac:dyDescent="0.25">
      <c r="D74" s="138"/>
      <c r="E74" s="138"/>
      <c r="L74" s="138"/>
      <c r="O74" s="138"/>
      <c r="R74" s="138"/>
      <c r="U74" s="138"/>
      <c r="X74" s="138"/>
    </row>
    <row r="75" spans="4:24" ht="12.75" customHeight="1" x14ac:dyDescent="0.25">
      <c r="D75" s="138"/>
      <c r="E75" s="138"/>
      <c r="L75" s="138"/>
      <c r="O75" s="138"/>
      <c r="R75" s="138"/>
      <c r="U75" s="138"/>
      <c r="X75" s="138"/>
    </row>
    <row r="76" spans="4:24" ht="12.75" customHeight="1" x14ac:dyDescent="0.25">
      <c r="D76" s="138"/>
      <c r="E76" s="138"/>
      <c r="L76" s="138"/>
      <c r="O76" s="138"/>
      <c r="R76" s="138"/>
      <c r="U76" s="138"/>
      <c r="X76" s="138"/>
    </row>
    <row r="77" spans="4:24" ht="12.75" customHeight="1" x14ac:dyDescent="0.25">
      <c r="D77" s="138"/>
      <c r="E77" s="138"/>
      <c r="L77" s="138"/>
      <c r="O77" s="138"/>
      <c r="R77" s="138"/>
      <c r="U77" s="138"/>
      <c r="X77" s="138"/>
    </row>
    <row r="78" spans="4:24" ht="12.75" customHeight="1" x14ac:dyDescent="0.25">
      <c r="D78" s="138"/>
      <c r="E78" s="138"/>
      <c r="L78" s="138"/>
      <c r="O78" s="138"/>
      <c r="R78" s="138"/>
      <c r="U78" s="138"/>
      <c r="X78" s="138"/>
    </row>
    <row r="79" spans="4:24" ht="12.75" customHeight="1" x14ac:dyDescent="0.25">
      <c r="D79" s="138"/>
      <c r="E79" s="138"/>
      <c r="L79" s="138"/>
      <c r="O79" s="138"/>
      <c r="R79" s="138"/>
      <c r="U79" s="138"/>
      <c r="X79" s="138"/>
    </row>
    <row r="80" spans="4:24" ht="12.75" customHeight="1" x14ac:dyDescent="0.25">
      <c r="D80" s="138"/>
      <c r="E80" s="138"/>
      <c r="L80" s="138"/>
      <c r="O80" s="138"/>
      <c r="R80" s="138"/>
      <c r="U80" s="138"/>
      <c r="X80" s="138"/>
    </row>
    <row r="81" spans="4:24" ht="12.75" customHeight="1" x14ac:dyDescent="0.25">
      <c r="D81" s="138"/>
      <c r="E81" s="138"/>
      <c r="L81" s="138"/>
      <c r="O81" s="138"/>
      <c r="R81" s="138"/>
      <c r="U81" s="138"/>
      <c r="X81" s="138"/>
    </row>
    <row r="82" spans="4:24" ht="12.75" customHeight="1" x14ac:dyDescent="0.25">
      <c r="D82" s="138"/>
      <c r="E82" s="138"/>
      <c r="L82" s="138"/>
      <c r="O82" s="138"/>
      <c r="R82" s="138"/>
      <c r="U82" s="138"/>
      <c r="X82" s="138"/>
    </row>
    <row r="83" spans="4:24" ht="12.75" customHeight="1" x14ac:dyDescent="0.25">
      <c r="D83" s="138"/>
      <c r="E83" s="138"/>
      <c r="L83" s="138"/>
      <c r="O83" s="138"/>
      <c r="R83" s="138"/>
      <c r="U83" s="138"/>
      <c r="X83" s="138"/>
    </row>
    <row r="84" spans="4:24" ht="12.75" customHeight="1" x14ac:dyDescent="0.25">
      <c r="D84" s="138"/>
      <c r="E84" s="138"/>
      <c r="L84" s="138"/>
      <c r="O84" s="138"/>
      <c r="R84" s="138"/>
      <c r="U84" s="138"/>
      <c r="X84" s="138"/>
    </row>
    <row r="85" spans="4:24" ht="12.75" customHeight="1" x14ac:dyDescent="0.25">
      <c r="D85" s="138"/>
      <c r="E85" s="138"/>
      <c r="L85" s="138"/>
      <c r="O85" s="138"/>
      <c r="R85" s="138"/>
      <c r="U85" s="138"/>
      <c r="X85" s="138"/>
    </row>
    <row r="86" spans="4:24" ht="12.75" customHeight="1" x14ac:dyDescent="0.25">
      <c r="D86" s="138"/>
      <c r="E86" s="138"/>
      <c r="L86" s="138"/>
      <c r="O86" s="138"/>
      <c r="R86" s="138"/>
      <c r="U86" s="138"/>
      <c r="X86" s="138"/>
    </row>
    <row r="87" spans="4:24" ht="12.75" customHeight="1" x14ac:dyDescent="0.25">
      <c r="D87" s="138"/>
      <c r="E87" s="138"/>
      <c r="L87" s="138"/>
      <c r="O87" s="138"/>
      <c r="R87" s="138"/>
      <c r="U87" s="138"/>
      <c r="X87" s="138"/>
    </row>
    <row r="88" spans="4:24" ht="12.75" customHeight="1" x14ac:dyDescent="0.25">
      <c r="D88" s="138"/>
      <c r="E88" s="138"/>
      <c r="L88" s="138"/>
      <c r="O88" s="138"/>
      <c r="R88" s="138"/>
      <c r="U88" s="138"/>
      <c r="X88" s="138"/>
    </row>
    <row r="89" spans="4:24" ht="12.75" customHeight="1" x14ac:dyDescent="0.25">
      <c r="D89" s="138"/>
      <c r="E89" s="138"/>
      <c r="L89" s="138"/>
      <c r="O89" s="138"/>
      <c r="R89" s="138"/>
      <c r="U89" s="138"/>
      <c r="X89" s="138"/>
    </row>
    <row r="90" spans="4:24" ht="12.75" customHeight="1" x14ac:dyDescent="0.25">
      <c r="D90" s="138"/>
      <c r="E90" s="138"/>
      <c r="L90" s="138"/>
      <c r="O90" s="138"/>
      <c r="R90" s="138"/>
      <c r="U90" s="138"/>
      <c r="X90" s="138"/>
    </row>
    <row r="91" spans="4:24" ht="12.75" customHeight="1" x14ac:dyDescent="0.25">
      <c r="D91" s="138"/>
      <c r="E91" s="138"/>
      <c r="L91" s="138"/>
      <c r="O91" s="138"/>
      <c r="R91" s="138"/>
      <c r="U91" s="138"/>
      <c r="X91" s="138"/>
    </row>
    <row r="92" spans="4:24" ht="12.75" customHeight="1" x14ac:dyDescent="0.25">
      <c r="D92" s="138"/>
      <c r="E92" s="138"/>
      <c r="L92" s="138"/>
      <c r="O92" s="138"/>
      <c r="R92" s="138"/>
      <c r="U92" s="138"/>
      <c r="X92" s="138"/>
    </row>
    <row r="93" spans="4:24" ht="12.75" customHeight="1" x14ac:dyDescent="0.25">
      <c r="D93" s="138"/>
      <c r="E93" s="138"/>
      <c r="L93" s="138"/>
      <c r="O93" s="138"/>
      <c r="R93" s="138"/>
      <c r="U93" s="138"/>
      <c r="X93" s="138"/>
    </row>
    <row r="94" spans="4:24" ht="12.75" customHeight="1" x14ac:dyDescent="0.25">
      <c r="D94" s="138"/>
      <c r="E94" s="138"/>
      <c r="L94" s="138"/>
      <c r="O94" s="138"/>
      <c r="R94" s="138"/>
      <c r="U94" s="138"/>
      <c r="X94" s="138"/>
    </row>
    <row r="95" spans="4:24" ht="12.75" customHeight="1" x14ac:dyDescent="0.25">
      <c r="D95" s="138"/>
      <c r="E95" s="138"/>
      <c r="L95" s="138"/>
      <c r="O95" s="138"/>
      <c r="R95" s="138"/>
      <c r="U95" s="138"/>
      <c r="X95" s="138"/>
    </row>
    <row r="96" spans="4:24" ht="12.75" customHeight="1" x14ac:dyDescent="0.25">
      <c r="D96" s="138"/>
      <c r="E96" s="138"/>
      <c r="L96" s="138"/>
      <c r="O96" s="138"/>
      <c r="R96" s="138"/>
      <c r="U96" s="138"/>
      <c r="X96" s="138"/>
    </row>
    <row r="97" spans="4:24" ht="12.75" customHeight="1" x14ac:dyDescent="0.25">
      <c r="D97" s="138"/>
      <c r="E97" s="138"/>
      <c r="L97" s="138"/>
      <c r="O97" s="138"/>
      <c r="R97" s="138"/>
      <c r="U97" s="138"/>
      <c r="X97" s="138"/>
    </row>
    <row r="98" spans="4:24" ht="12.75" customHeight="1" x14ac:dyDescent="0.25">
      <c r="D98" s="138"/>
      <c r="E98" s="138"/>
      <c r="L98" s="138"/>
      <c r="O98" s="138"/>
      <c r="R98" s="138"/>
      <c r="U98" s="138"/>
      <c r="X98" s="138"/>
    </row>
    <row r="99" spans="4:24" ht="12.75" customHeight="1" x14ac:dyDescent="0.25">
      <c r="D99" s="138"/>
      <c r="E99" s="138"/>
      <c r="L99" s="138"/>
      <c r="O99" s="138"/>
      <c r="R99" s="138"/>
      <c r="U99" s="138"/>
      <c r="X99" s="138"/>
    </row>
    <row r="100" spans="4:24" ht="12.75" customHeight="1" x14ac:dyDescent="0.25">
      <c r="D100" s="138"/>
      <c r="E100" s="138"/>
      <c r="L100" s="138"/>
      <c r="O100" s="138"/>
      <c r="R100" s="138"/>
      <c r="U100" s="138"/>
      <c r="X100" s="138"/>
    </row>
    <row r="101" spans="4:24" ht="12.75" customHeight="1" x14ac:dyDescent="0.25">
      <c r="D101" s="138"/>
      <c r="E101" s="138"/>
      <c r="L101" s="138"/>
      <c r="O101" s="138"/>
      <c r="R101" s="138"/>
      <c r="U101" s="138"/>
      <c r="X101" s="138"/>
    </row>
    <row r="102" spans="4:24" ht="12.75" customHeight="1" x14ac:dyDescent="0.25">
      <c r="D102" s="138"/>
      <c r="E102" s="138"/>
      <c r="L102" s="138"/>
      <c r="O102" s="138"/>
      <c r="R102" s="138"/>
      <c r="U102" s="138"/>
      <c r="X102" s="138"/>
    </row>
    <row r="103" spans="4:24" ht="12.75" customHeight="1" x14ac:dyDescent="0.25">
      <c r="D103" s="138"/>
      <c r="E103" s="138"/>
      <c r="L103" s="138"/>
      <c r="O103" s="138"/>
      <c r="R103" s="138"/>
      <c r="U103" s="138"/>
      <c r="X103" s="138"/>
    </row>
    <row r="104" spans="4:24" ht="12.75" customHeight="1" x14ac:dyDescent="0.25">
      <c r="D104" s="138"/>
      <c r="E104" s="138"/>
      <c r="L104" s="138"/>
      <c r="O104" s="138"/>
      <c r="R104" s="138"/>
      <c r="U104" s="138"/>
      <c r="X104" s="138"/>
    </row>
    <row r="105" spans="4:24" ht="12.75" customHeight="1" x14ac:dyDescent="0.25">
      <c r="D105" s="138"/>
      <c r="E105" s="138"/>
      <c r="L105" s="138"/>
      <c r="O105" s="138"/>
      <c r="R105" s="138"/>
      <c r="U105" s="138"/>
      <c r="X105" s="138"/>
    </row>
    <row r="106" spans="4:24" ht="12.75" customHeight="1" x14ac:dyDescent="0.25">
      <c r="D106" s="138"/>
      <c r="E106" s="138"/>
      <c r="L106" s="138"/>
      <c r="O106" s="138"/>
      <c r="R106" s="138"/>
      <c r="U106" s="138"/>
      <c r="X106" s="138"/>
    </row>
    <row r="107" spans="4:24" ht="12.75" customHeight="1" x14ac:dyDescent="0.25">
      <c r="D107" s="138"/>
      <c r="E107" s="138"/>
      <c r="L107" s="138"/>
      <c r="O107" s="138"/>
      <c r="R107" s="138"/>
      <c r="U107" s="138"/>
      <c r="X107" s="138"/>
    </row>
    <row r="108" spans="4:24" ht="12.75" customHeight="1" x14ac:dyDescent="0.25">
      <c r="D108" s="138"/>
      <c r="E108" s="138"/>
      <c r="L108" s="138"/>
      <c r="O108" s="138"/>
      <c r="R108" s="138"/>
      <c r="U108" s="138"/>
      <c r="X108" s="138"/>
    </row>
    <row r="109" spans="4:24" ht="12.75" customHeight="1" x14ac:dyDescent="0.25">
      <c r="D109" s="138"/>
      <c r="E109" s="138"/>
      <c r="L109" s="138"/>
      <c r="O109" s="138"/>
      <c r="R109" s="138"/>
      <c r="U109" s="138"/>
      <c r="X109" s="138"/>
    </row>
    <row r="110" spans="4:24" ht="12.75" customHeight="1" x14ac:dyDescent="0.25">
      <c r="D110" s="138"/>
      <c r="E110" s="138"/>
      <c r="L110" s="138"/>
      <c r="O110" s="138"/>
      <c r="R110" s="138"/>
      <c r="U110" s="138"/>
      <c r="X110" s="138"/>
    </row>
    <row r="111" spans="4:24" ht="12.75" customHeight="1" x14ac:dyDescent="0.25">
      <c r="D111" s="138"/>
      <c r="E111" s="138"/>
      <c r="L111" s="138"/>
      <c r="O111" s="138"/>
      <c r="R111" s="138"/>
      <c r="U111" s="138"/>
      <c r="X111" s="138"/>
    </row>
    <row r="112" spans="4:24" ht="12.75" customHeight="1" x14ac:dyDescent="0.25">
      <c r="D112" s="138"/>
      <c r="E112" s="138"/>
      <c r="L112" s="138"/>
      <c r="O112" s="138"/>
      <c r="R112" s="138"/>
      <c r="U112" s="138"/>
      <c r="X112" s="138"/>
    </row>
    <row r="113" spans="4:24" ht="12.75" customHeight="1" x14ac:dyDescent="0.25">
      <c r="D113" s="138"/>
      <c r="E113" s="138"/>
      <c r="L113" s="138"/>
      <c r="O113" s="138"/>
      <c r="R113" s="138"/>
      <c r="U113" s="138"/>
      <c r="X113" s="138"/>
    </row>
    <row r="114" spans="4:24" ht="12.75" customHeight="1" x14ac:dyDescent="0.25">
      <c r="D114" s="138"/>
      <c r="E114" s="138"/>
      <c r="L114" s="138"/>
      <c r="O114" s="138"/>
      <c r="R114" s="138"/>
      <c r="U114" s="138"/>
      <c r="X114" s="138"/>
    </row>
    <row r="115" spans="4:24" ht="12.75" customHeight="1" x14ac:dyDescent="0.25">
      <c r="D115" s="138"/>
      <c r="E115" s="138"/>
      <c r="L115" s="138"/>
      <c r="O115" s="138"/>
      <c r="R115" s="138"/>
      <c r="U115" s="138"/>
      <c r="X115" s="138"/>
    </row>
    <row r="116" spans="4:24" ht="12.75" customHeight="1" x14ac:dyDescent="0.25">
      <c r="D116" s="138"/>
      <c r="E116" s="138"/>
      <c r="L116" s="138"/>
      <c r="O116" s="138"/>
      <c r="R116" s="138"/>
      <c r="U116" s="138"/>
      <c r="X116" s="138"/>
    </row>
    <row r="117" spans="4:24" ht="12.75" customHeight="1" x14ac:dyDescent="0.25">
      <c r="D117" s="138"/>
      <c r="E117" s="138"/>
      <c r="L117" s="138"/>
      <c r="O117" s="138"/>
      <c r="R117" s="138"/>
      <c r="U117" s="138"/>
      <c r="X117" s="138"/>
    </row>
    <row r="118" spans="4:24" ht="12.75" customHeight="1" x14ac:dyDescent="0.25">
      <c r="D118" s="138"/>
      <c r="E118" s="138"/>
      <c r="L118" s="138"/>
      <c r="O118" s="138"/>
      <c r="R118" s="138"/>
      <c r="U118" s="138"/>
      <c r="X118" s="138"/>
    </row>
    <row r="119" spans="4:24" ht="12.75" customHeight="1" x14ac:dyDescent="0.25">
      <c r="D119" s="138"/>
      <c r="E119" s="138"/>
      <c r="L119" s="138"/>
      <c r="O119" s="138"/>
      <c r="R119" s="138"/>
      <c r="U119" s="138"/>
      <c r="X119" s="138"/>
    </row>
    <row r="120" spans="4:24" ht="12.75" customHeight="1" x14ac:dyDescent="0.25">
      <c r="D120" s="138"/>
      <c r="E120" s="138"/>
      <c r="L120" s="138"/>
      <c r="O120" s="138"/>
      <c r="R120" s="138"/>
      <c r="U120" s="138"/>
      <c r="X120" s="138"/>
    </row>
    <row r="121" spans="4:24" ht="12.75" customHeight="1" x14ac:dyDescent="0.25">
      <c r="D121" s="138"/>
      <c r="E121" s="138"/>
      <c r="L121" s="138"/>
      <c r="O121" s="138"/>
      <c r="R121" s="138"/>
      <c r="U121" s="138"/>
      <c r="X121" s="138"/>
    </row>
    <row r="122" spans="4:24" ht="12.75" customHeight="1" x14ac:dyDescent="0.25">
      <c r="D122" s="138"/>
      <c r="E122" s="138"/>
      <c r="L122" s="138"/>
      <c r="O122" s="138"/>
      <c r="R122" s="138"/>
      <c r="U122" s="138"/>
      <c r="X122" s="138"/>
    </row>
    <row r="123" spans="4:24" ht="12.75" customHeight="1" x14ac:dyDescent="0.25">
      <c r="D123" s="138"/>
      <c r="E123" s="138"/>
      <c r="L123" s="138"/>
      <c r="O123" s="138"/>
      <c r="R123" s="138"/>
      <c r="U123" s="138"/>
      <c r="X123" s="138"/>
    </row>
    <row r="124" spans="4:24" ht="12.75" customHeight="1" x14ac:dyDescent="0.25">
      <c r="D124" s="138"/>
      <c r="E124" s="138"/>
      <c r="L124" s="138"/>
      <c r="O124" s="138"/>
      <c r="R124" s="138"/>
      <c r="U124" s="138"/>
      <c r="X124" s="138"/>
    </row>
    <row r="125" spans="4:24" ht="12.75" customHeight="1" x14ac:dyDescent="0.25">
      <c r="D125" s="138"/>
      <c r="E125" s="138"/>
      <c r="L125" s="138"/>
      <c r="O125" s="138"/>
      <c r="R125" s="138"/>
      <c r="U125" s="138"/>
      <c r="X125" s="138"/>
    </row>
    <row r="126" spans="4:24" ht="12.75" customHeight="1" x14ac:dyDescent="0.25">
      <c r="D126" s="138"/>
      <c r="E126" s="138"/>
      <c r="L126" s="138"/>
      <c r="O126" s="138"/>
      <c r="R126" s="138"/>
      <c r="U126" s="138"/>
      <c r="X126" s="138"/>
    </row>
    <row r="127" spans="4:24" ht="12.75" customHeight="1" x14ac:dyDescent="0.25">
      <c r="D127" s="138"/>
      <c r="E127" s="138"/>
      <c r="L127" s="138"/>
      <c r="O127" s="138"/>
      <c r="R127" s="138"/>
      <c r="U127" s="138"/>
      <c r="X127" s="138"/>
    </row>
    <row r="128" spans="4:24" ht="12.75" customHeight="1" x14ac:dyDescent="0.25">
      <c r="D128" s="138"/>
      <c r="E128" s="138"/>
      <c r="L128" s="138"/>
      <c r="O128" s="138"/>
      <c r="R128" s="138"/>
      <c r="U128" s="138"/>
      <c r="X128" s="138"/>
    </row>
    <row r="129" spans="4:24" ht="12.75" customHeight="1" x14ac:dyDescent="0.25">
      <c r="D129" s="138"/>
      <c r="E129" s="138"/>
      <c r="L129" s="138"/>
      <c r="O129" s="138"/>
      <c r="R129" s="138"/>
      <c r="U129" s="138"/>
      <c r="X129" s="138"/>
    </row>
    <row r="130" spans="4:24" ht="12.75" customHeight="1" x14ac:dyDescent="0.25">
      <c r="D130" s="138"/>
      <c r="E130" s="138"/>
      <c r="L130" s="138"/>
      <c r="O130" s="138"/>
      <c r="R130" s="138"/>
      <c r="U130" s="138"/>
      <c r="X130" s="138"/>
    </row>
    <row r="131" spans="4:24" ht="12.75" customHeight="1" x14ac:dyDescent="0.25">
      <c r="D131" s="138"/>
      <c r="E131" s="138"/>
      <c r="L131" s="138"/>
      <c r="O131" s="138"/>
      <c r="R131" s="138"/>
      <c r="U131" s="138"/>
      <c r="X131" s="138"/>
    </row>
    <row r="132" spans="4:24" ht="12.75" customHeight="1" x14ac:dyDescent="0.25">
      <c r="D132" s="138"/>
      <c r="E132" s="138"/>
      <c r="L132" s="138"/>
      <c r="O132" s="138"/>
      <c r="R132" s="138"/>
      <c r="U132" s="138"/>
      <c r="X132" s="138"/>
    </row>
    <row r="133" spans="4:24" ht="12.75" customHeight="1" x14ac:dyDescent="0.25">
      <c r="D133" s="138"/>
      <c r="E133" s="138"/>
      <c r="L133" s="138"/>
      <c r="O133" s="138"/>
      <c r="R133" s="138"/>
      <c r="U133" s="138"/>
      <c r="X133" s="138"/>
    </row>
    <row r="134" spans="4:24" ht="12.75" customHeight="1" x14ac:dyDescent="0.25">
      <c r="D134" s="138"/>
      <c r="E134" s="138"/>
      <c r="L134" s="138"/>
      <c r="O134" s="138"/>
      <c r="R134" s="138"/>
      <c r="U134" s="138"/>
      <c r="X134" s="138"/>
    </row>
    <row r="135" spans="4:24" ht="12.75" customHeight="1" x14ac:dyDescent="0.25">
      <c r="D135" s="138"/>
      <c r="E135" s="138"/>
      <c r="L135" s="138"/>
      <c r="O135" s="138"/>
      <c r="R135" s="138"/>
      <c r="U135" s="138"/>
      <c r="X135" s="138"/>
    </row>
    <row r="136" spans="4:24" ht="12.75" customHeight="1" x14ac:dyDescent="0.25">
      <c r="D136" s="138"/>
      <c r="E136" s="138"/>
      <c r="L136" s="138"/>
      <c r="O136" s="138"/>
      <c r="R136" s="138"/>
      <c r="U136" s="138"/>
      <c r="X136" s="138"/>
    </row>
    <row r="137" spans="4:24" ht="12.75" customHeight="1" x14ac:dyDescent="0.25">
      <c r="D137" s="138"/>
      <c r="E137" s="138"/>
      <c r="L137" s="138"/>
      <c r="O137" s="138"/>
      <c r="R137" s="138"/>
      <c r="U137" s="138"/>
      <c r="X137" s="138"/>
    </row>
    <row r="138" spans="4:24" ht="12.75" customHeight="1" x14ac:dyDescent="0.25">
      <c r="D138" s="138"/>
      <c r="E138" s="138"/>
      <c r="L138" s="138"/>
      <c r="O138" s="138"/>
      <c r="R138" s="138"/>
      <c r="U138" s="138"/>
      <c r="X138" s="138"/>
    </row>
    <row r="139" spans="4:24" ht="12.75" customHeight="1" x14ac:dyDescent="0.25">
      <c r="D139" s="138"/>
      <c r="E139" s="138"/>
      <c r="L139" s="138"/>
      <c r="O139" s="138"/>
      <c r="R139" s="138"/>
      <c r="U139" s="138"/>
      <c r="X139" s="138"/>
    </row>
    <row r="140" spans="4:24" ht="12.75" customHeight="1" x14ac:dyDescent="0.25">
      <c r="D140" s="138"/>
      <c r="E140" s="138"/>
      <c r="L140" s="138"/>
      <c r="O140" s="138"/>
      <c r="R140" s="138"/>
      <c r="U140" s="138"/>
      <c r="X140" s="138"/>
    </row>
    <row r="141" spans="4:24" ht="12.75" customHeight="1" x14ac:dyDescent="0.25">
      <c r="D141" s="138"/>
      <c r="E141" s="138"/>
      <c r="L141" s="138"/>
      <c r="O141" s="138"/>
      <c r="R141" s="138"/>
      <c r="U141" s="138"/>
      <c r="X141" s="138"/>
    </row>
    <row r="142" spans="4:24" ht="12.75" customHeight="1" x14ac:dyDescent="0.25">
      <c r="D142" s="138"/>
      <c r="E142" s="138"/>
      <c r="L142" s="138"/>
      <c r="O142" s="138"/>
      <c r="R142" s="138"/>
      <c r="U142" s="138"/>
      <c r="X142" s="138"/>
    </row>
    <row r="143" spans="4:24" ht="12.75" customHeight="1" x14ac:dyDescent="0.25">
      <c r="D143" s="138"/>
      <c r="E143" s="138"/>
      <c r="L143" s="138"/>
      <c r="O143" s="138"/>
      <c r="R143" s="138"/>
      <c r="U143" s="138"/>
      <c r="X143" s="138"/>
    </row>
    <row r="144" spans="4:24" ht="12.75" customHeight="1" x14ac:dyDescent="0.25">
      <c r="D144" s="138"/>
      <c r="E144" s="138"/>
      <c r="L144" s="138"/>
      <c r="O144" s="138"/>
      <c r="R144" s="138"/>
      <c r="U144" s="138"/>
      <c r="X144" s="138"/>
    </row>
    <row r="145" spans="4:24" ht="12.75" customHeight="1" x14ac:dyDescent="0.25">
      <c r="D145" s="138"/>
      <c r="E145" s="138"/>
      <c r="L145" s="138"/>
      <c r="O145" s="138"/>
      <c r="R145" s="138"/>
      <c r="U145" s="138"/>
      <c r="X145" s="138"/>
    </row>
    <row r="146" spans="4:24" ht="12.75" customHeight="1" x14ac:dyDescent="0.25">
      <c r="D146" s="138"/>
      <c r="E146" s="138"/>
      <c r="L146" s="138"/>
      <c r="O146" s="138"/>
      <c r="R146" s="138"/>
      <c r="U146" s="138"/>
      <c r="X146" s="138"/>
    </row>
    <row r="147" spans="4:24" ht="12.75" customHeight="1" x14ac:dyDescent="0.25">
      <c r="D147" s="138"/>
      <c r="E147" s="138"/>
      <c r="L147" s="138"/>
      <c r="O147" s="138"/>
      <c r="R147" s="138"/>
      <c r="U147" s="138"/>
      <c r="X147" s="138"/>
    </row>
    <row r="148" spans="4:24" ht="12.75" customHeight="1" x14ac:dyDescent="0.25">
      <c r="D148" s="138"/>
      <c r="E148" s="138"/>
      <c r="L148" s="138"/>
      <c r="O148" s="138"/>
      <c r="R148" s="138"/>
      <c r="U148" s="138"/>
      <c r="X148" s="138"/>
    </row>
    <row r="149" spans="4:24" ht="12.75" customHeight="1" x14ac:dyDescent="0.25">
      <c r="D149" s="138"/>
      <c r="E149" s="138"/>
      <c r="L149" s="138"/>
      <c r="O149" s="138"/>
      <c r="R149" s="138"/>
      <c r="U149" s="138"/>
      <c r="X149" s="138"/>
    </row>
    <row r="150" spans="4:24" ht="12.75" customHeight="1" x14ac:dyDescent="0.25">
      <c r="D150" s="138"/>
      <c r="E150" s="138"/>
      <c r="L150" s="138"/>
      <c r="O150" s="138"/>
      <c r="R150" s="138"/>
      <c r="U150" s="138"/>
      <c r="X150" s="138"/>
    </row>
    <row r="151" spans="4:24" ht="12.75" customHeight="1" x14ac:dyDescent="0.25">
      <c r="D151" s="138"/>
      <c r="E151" s="138"/>
      <c r="L151" s="138"/>
      <c r="O151" s="138"/>
      <c r="R151" s="138"/>
      <c r="U151" s="138"/>
      <c r="X151" s="138"/>
    </row>
    <row r="152" spans="4:24" ht="12.75" customHeight="1" x14ac:dyDescent="0.25">
      <c r="D152" s="138"/>
      <c r="E152" s="138"/>
      <c r="L152" s="138"/>
      <c r="O152" s="138"/>
      <c r="R152" s="138"/>
      <c r="U152" s="138"/>
      <c r="X152" s="138"/>
    </row>
    <row r="153" spans="4:24" ht="12.75" customHeight="1" x14ac:dyDescent="0.25">
      <c r="D153" s="138"/>
      <c r="E153" s="138"/>
      <c r="L153" s="138"/>
      <c r="O153" s="138"/>
      <c r="R153" s="138"/>
      <c r="U153" s="138"/>
      <c r="X153" s="138"/>
    </row>
    <row r="154" spans="4:24" ht="12.75" customHeight="1" x14ac:dyDescent="0.25">
      <c r="D154" s="138"/>
      <c r="E154" s="138"/>
      <c r="L154" s="138"/>
      <c r="O154" s="138"/>
      <c r="R154" s="138"/>
      <c r="U154" s="138"/>
      <c r="X154" s="138"/>
    </row>
    <row r="155" spans="4:24" ht="12.75" customHeight="1" x14ac:dyDescent="0.25">
      <c r="D155" s="138"/>
      <c r="E155" s="138"/>
      <c r="L155" s="138"/>
      <c r="O155" s="138"/>
      <c r="R155" s="138"/>
      <c r="U155" s="138"/>
      <c r="X155" s="138"/>
    </row>
    <row r="156" spans="4:24" ht="12.75" customHeight="1" x14ac:dyDescent="0.25">
      <c r="D156" s="138"/>
      <c r="E156" s="138"/>
      <c r="L156" s="138"/>
      <c r="O156" s="138"/>
      <c r="R156" s="138"/>
      <c r="U156" s="138"/>
      <c r="X156" s="138"/>
    </row>
    <row r="157" spans="4:24" ht="12.75" customHeight="1" x14ac:dyDescent="0.25">
      <c r="D157" s="138"/>
      <c r="E157" s="138"/>
      <c r="L157" s="138"/>
      <c r="O157" s="138"/>
      <c r="R157" s="138"/>
      <c r="U157" s="138"/>
      <c r="X157" s="138"/>
    </row>
    <row r="158" spans="4:24" ht="12.75" customHeight="1" x14ac:dyDescent="0.25">
      <c r="D158" s="138"/>
      <c r="E158" s="138"/>
      <c r="L158" s="138"/>
      <c r="O158" s="138"/>
      <c r="R158" s="138"/>
      <c r="U158" s="138"/>
      <c r="X158" s="138"/>
    </row>
    <row r="159" spans="4:24" ht="12.75" customHeight="1" x14ac:dyDescent="0.25">
      <c r="D159" s="138"/>
      <c r="E159" s="138"/>
      <c r="L159" s="138"/>
      <c r="O159" s="138"/>
      <c r="R159" s="138"/>
      <c r="U159" s="138"/>
      <c r="X159" s="138"/>
    </row>
    <row r="160" spans="4:24" ht="12.75" customHeight="1" x14ac:dyDescent="0.25">
      <c r="D160" s="138"/>
      <c r="E160" s="138"/>
      <c r="L160" s="138"/>
      <c r="O160" s="138"/>
      <c r="R160" s="138"/>
      <c r="U160" s="138"/>
      <c r="X160" s="138"/>
    </row>
    <row r="161" spans="4:24" ht="12.75" customHeight="1" x14ac:dyDescent="0.25">
      <c r="D161" s="138"/>
      <c r="E161" s="138"/>
      <c r="L161" s="138"/>
      <c r="O161" s="138"/>
      <c r="R161" s="138"/>
      <c r="U161" s="138"/>
      <c r="X161" s="138"/>
    </row>
    <row r="162" spans="4:24" ht="12.75" customHeight="1" x14ac:dyDescent="0.25">
      <c r="D162" s="138"/>
      <c r="E162" s="138"/>
      <c r="L162" s="138"/>
      <c r="O162" s="138"/>
      <c r="R162" s="138"/>
      <c r="U162" s="138"/>
      <c r="X162" s="138"/>
    </row>
    <row r="163" spans="4:24" ht="12.75" customHeight="1" x14ac:dyDescent="0.25">
      <c r="D163" s="138"/>
      <c r="E163" s="138"/>
      <c r="L163" s="138"/>
      <c r="O163" s="138"/>
      <c r="R163" s="138"/>
      <c r="U163" s="138"/>
      <c r="X163" s="138"/>
    </row>
    <row r="164" spans="4:24" ht="12.75" customHeight="1" x14ac:dyDescent="0.25">
      <c r="D164" s="138"/>
      <c r="E164" s="138"/>
      <c r="L164" s="138"/>
      <c r="O164" s="138"/>
      <c r="R164" s="138"/>
      <c r="U164" s="138"/>
      <c r="X164" s="138"/>
    </row>
    <row r="165" spans="4:24" ht="12.75" customHeight="1" x14ac:dyDescent="0.25">
      <c r="D165" s="138"/>
      <c r="E165" s="138"/>
      <c r="L165" s="138"/>
      <c r="O165" s="138"/>
      <c r="R165" s="138"/>
      <c r="U165" s="138"/>
      <c r="X165" s="138"/>
    </row>
    <row r="166" spans="4:24" ht="12.75" customHeight="1" x14ac:dyDescent="0.25">
      <c r="D166" s="138"/>
      <c r="E166" s="138"/>
      <c r="L166" s="138"/>
      <c r="O166" s="138"/>
      <c r="R166" s="138"/>
      <c r="U166" s="138"/>
      <c r="X166" s="138"/>
    </row>
    <row r="167" spans="4:24" ht="12.75" customHeight="1" x14ac:dyDescent="0.25">
      <c r="D167" s="138"/>
      <c r="E167" s="138"/>
      <c r="L167" s="138"/>
      <c r="O167" s="138"/>
      <c r="R167" s="138"/>
      <c r="U167" s="138"/>
      <c r="X167" s="138"/>
    </row>
    <row r="168" spans="4:24" ht="12.75" customHeight="1" x14ac:dyDescent="0.25">
      <c r="D168" s="138"/>
      <c r="E168" s="138"/>
      <c r="L168" s="138"/>
      <c r="O168" s="138"/>
      <c r="R168" s="138"/>
      <c r="U168" s="138"/>
      <c r="X168" s="138"/>
    </row>
    <row r="169" spans="4:24" ht="12.75" customHeight="1" x14ac:dyDescent="0.25">
      <c r="D169" s="138"/>
      <c r="E169" s="138"/>
      <c r="L169" s="138"/>
      <c r="O169" s="138"/>
      <c r="R169" s="138"/>
      <c r="U169" s="138"/>
      <c r="X169" s="138"/>
    </row>
    <row r="170" spans="4:24" ht="12.75" customHeight="1" x14ac:dyDescent="0.25">
      <c r="D170" s="138"/>
      <c r="E170" s="138"/>
      <c r="L170" s="138"/>
      <c r="O170" s="138"/>
      <c r="R170" s="138"/>
      <c r="U170" s="138"/>
      <c r="X170" s="138"/>
    </row>
    <row r="171" spans="4:24" ht="12.75" customHeight="1" x14ac:dyDescent="0.25">
      <c r="D171" s="138"/>
      <c r="E171" s="138"/>
      <c r="L171" s="138"/>
      <c r="O171" s="138"/>
      <c r="R171" s="138"/>
      <c r="U171" s="138"/>
      <c r="X171" s="138"/>
    </row>
    <row r="172" spans="4:24" ht="12.75" customHeight="1" x14ac:dyDescent="0.25">
      <c r="D172" s="138"/>
      <c r="E172" s="138"/>
      <c r="L172" s="138"/>
      <c r="O172" s="138"/>
      <c r="R172" s="138"/>
      <c r="U172" s="138"/>
      <c r="X172" s="138"/>
    </row>
    <row r="173" spans="4:24" ht="12.75" customHeight="1" x14ac:dyDescent="0.25">
      <c r="D173" s="138"/>
      <c r="E173" s="138"/>
      <c r="L173" s="138"/>
      <c r="O173" s="138"/>
      <c r="R173" s="138"/>
      <c r="U173" s="138"/>
      <c r="X173" s="138"/>
    </row>
    <row r="174" spans="4:24" ht="12.75" customHeight="1" x14ac:dyDescent="0.25">
      <c r="D174" s="138"/>
      <c r="E174" s="138"/>
      <c r="L174" s="138"/>
      <c r="O174" s="138"/>
      <c r="R174" s="138"/>
      <c r="U174" s="138"/>
      <c r="X174" s="138"/>
    </row>
    <row r="175" spans="4:24" ht="12.75" customHeight="1" x14ac:dyDescent="0.25">
      <c r="D175" s="138"/>
      <c r="E175" s="138"/>
      <c r="L175" s="138"/>
      <c r="O175" s="138"/>
      <c r="R175" s="138"/>
      <c r="U175" s="138"/>
      <c r="X175" s="138"/>
    </row>
    <row r="176" spans="4:24" ht="12.75" customHeight="1" x14ac:dyDescent="0.25">
      <c r="D176" s="138"/>
      <c r="E176" s="138"/>
      <c r="L176" s="138"/>
      <c r="O176" s="138"/>
      <c r="R176" s="138"/>
      <c r="U176" s="138"/>
      <c r="X176" s="138"/>
    </row>
    <row r="177" spans="4:24" ht="12.75" customHeight="1" x14ac:dyDescent="0.25">
      <c r="D177" s="138"/>
      <c r="E177" s="138"/>
      <c r="L177" s="138"/>
      <c r="O177" s="138"/>
      <c r="R177" s="138"/>
      <c r="U177" s="138"/>
      <c r="X177" s="138"/>
    </row>
    <row r="178" spans="4:24" ht="12.75" customHeight="1" x14ac:dyDescent="0.25">
      <c r="D178" s="138"/>
      <c r="E178" s="138"/>
      <c r="L178" s="138"/>
      <c r="O178" s="138"/>
      <c r="R178" s="138"/>
      <c r="U178" s="138"/>
      <c r="X178" s="138"/>
    </row>
    <row r="179" spans="4:24" ht="12.75" customHeight="1" x14ac:dyDescent="0.25">
      <c r="D179" s="138"/>
      <c r="E179" s="138"/>
      <c r="L179" s="138"/>
      <c r="O179" s="138"/>
      <c r="R179" s="138"/>
      <c r="U179" s="138"/>
      <c r="X179" s="138"/>
    </row>
    <row r="180" spans="4:24" ht="12.75" customHeight="1" x14ac:dyDescent="0.25">
      <c r="D180" s="138"/>
      <c r="E180" s="138"/>
      <c r="L180" s="138"/>
      <c r="O180" s="138"/>
      <c r="R180" s="138"/>
      <c r="U180" s="138"/>
      <c r="X180" s="138"/>
    </row>
    <row r="181" spans="4:24" ht="12.75" customHeight="1" x14ac:dyDescent="0.25">
      <c r="D181" s="138"/>
      <c r="E181" s="138"/>
      <c r="L181" s="138"/>
      <c r="O181" s="138"/>
      <c r="R181" s="138"/>
      <c r="U181" s="138"/>
      <c r="X181" s="138"/>
    </row>
    <row r="182" spans="4:24" ht="12.75" customHeight="1" x14ac:dyDescent="0.25">
      <c r="D182" s="138"/>
      <c r="E182" s="138"/>
      <c r="L182" s="138"/>
      <c r="O182" s="138"/>
      <c r="R182" s="138"/>
      <c r="U182" s="138"/>
      <c r="X182" s="138"/>
    </row>
    <row r="183" spans="4:24" ht="12.75" customHeight="1" x14ac:dyDescent="0.25">
      <c r="D183" s="138"/>
      <c r="E183" s="138"/>
      <c r="L183" s="138"/>
      <c r="O183" s="138"/>
      <c r="R183" s="138"/>
      <c r="U183" s="138"/>
      <c r="X183" s="138"/>
    </row>
    <row r="184" spans="4:24" ht="12.75" customHeight="1" x14ac:dyDescent="0.25">
      <c r="D184" s="138"/>
      <c r="E184" s="138"/>
      <c r="L184" s="138"/>
      <c r="O184" s="138"/>
      <c r="R184" s="138"/>
      <c r="U184" s="138"/>
      <c r="X184" s="138"/>
    </row>
    <row r="185" spans="4:24" ht="12.75" customHeight="1" x14ac:dyDescent="0.25">
      <c r="D185" s="138"/>
      <c r="E185" s="138"/>
      <c r="L185" s="138"/>
      <c r="O185" s="138"/>
      <c r="R185" s="138"/>
      <c r="U185" s="138"/>
      <c r="X185" s="138"/>
    </row>
    <row r="186" spans="4:24" ht="12.75" customHeight="1" x14ac:dyDescent="0.25">
      <c r="D186" s="138"/>
      <c r="E186" s="138"/>
      <c r="L186" s="138"/>
      <c r="O186" s="138"/>
      <c r="R186" s="138"/>
      <c r="U186" s="138"/>
      <c r="X186" s="138"/>
    </row>
    <row r="187" spans="4:24" ht="12.75" customHeight="1" x14ac:dyDescent="0.25">
      <c r="D187" s="138"/>
      <c r="E187" s="138"/>
      <c r="L187" s="138"/>
      <c r="O187" s="138"/>
      <c r="R187" s="138"/>
      <c r="U187" s="138"/>
      <c r="X187" s="138"/>
    </row>
    <row r="188" spans="4:24" ht="12.75" customHeight="1" x14ac:dyDescent="0.25">
      <c r="D188" s="138"/>
      <c r="E188" s="138"/>
      <c r="L188" s="138"/>
      <c r="O188" s="138"/>
      <c r="R188" s="138"/>
      <c r="U188" s="138"/>
      <c r="X188" s="138"/>
    </row>
    <row r="189" spans="4:24" ht="12.75" customHeight="1" x14ac:dyDescent="0.25">
      <c r="D189" s="138"/>
      <c r="E189" s="138"/>
      <c r="L189" s="138"/>
      <c r="O189" s="138"/>
      <c r="R189" s="138"/>
      <c r="U189" s="138"/>
      <c r="X189" s="138"/>
    </row>
    <row r="190" spans="4:24" ht="12.75" customHeight="1" x14ac:dyDescent="0.25">
      <c r="D190" s="138"/>
      <c r="E190" s="138"/>
      <c r="L190" s="138"/>
      <c r="O190" s="138"/>
      <c r="R190" s="138"/>
      <c r="U190" s="138"/>
      <c r="X190" s="138"/>
    </row>
    <row r="191" spans="4:24" ht="12.75" customHeight="1" x14ac:dyDescent="0.25">
      <c r="D191" s="138"/>
      <c r="E191" s="138"/>
      <c r="L191" s="138"/>
      <c r="O191" s="138"/>
      <c r="R191" s="138"/>
      <c r="U191" s="138"/>
      <c r="X191" s="138"/>
    </row>
    <row r="192" spans="4:24" ht="12.75" customHeight="1" x14ac:dyDescent="0.25">
      <c r="D192" s="138"/>
      <c r="E192" s="138"/>
      <c r="L192" s="138"/>
      <c r="O192" s="138"/>
      <c r="R192" s="138"/>
      <c r="U192" s="138"/>
      <c r="X192" s="138"/>
    </row>
    <row r="193" spans="4:24" ht="12.75" customHeight="1" x14ac:dyDescent="0.25">
      <c r="D193" s="138"/>
      <c r="E193" s="138"/>
      <c r="L193" s="138"/>
      <c r="O193" s="138"/>
      <c r="R193" s="138"/>
      <c r="U193" s="138"/>
      <c r="X193" s="138"/>
    </row>
    <row r="194" spans="4:24" ht="12.75" customHeight="1" x14ac:dyDescent="0.25">
      <c r="D194" s="138"/>
      <c r="E194" s="138"/>
      <c r="L194" s="138"/>
      <c r="O194" s="138"/>
      <c r="R194" s="138"/>
      <c r="U194" s="138"/>
      <c r="X194" s="138"/>
    </row>
    <row r="195" spans="4:24" ht="12.75" customHeight="1" x14ac:dyDescent="0.25">
      <c r="D195" s="138"/>
      <c r="E195" s="138"/>
      <c r="L195" s="138"/>
      <c r="O195" s="138"/>
      <c r="R195" s="138"/>
      <c r="U195" s="138"/>
      <c r="X195" s="138"/>
    </row>
    <row r="196" spans="4:24" ht="12.75" customHeight="1" x14ac:dyDescent="0.25">
      <c r="D196" s="138"/>
      <c r="E196" s="138"/>
      <c r="L196" s="138"/>
      <c r="O196" s="138"/>
      <c r="R196" s="138"/>
      <c r="U196" s="138"/>
      <c r="X196" s="138"/>
    </row>
    <row r="197" spans="4:24" ht="12.75" customHeight="1" x14ac:dyDescent="0.25">
      <c r="D197" s="138"/>
      <c r="E197" s="138"/>
      <c r="L197" s="138"/>
      <c r="O197" s="138"/>
      <c r="R197" s="138"/>
      <c r="U197" s="138"/>
      <c r="X197" s="138"/>
    </row>
    <row r="198" spans="4:24" ht="12.75" customHeight="1" x14ac:dyDescent="0.25">
      <c r="D198" s="138"/>
      <c r="E198" s="138"/>
      <c r="L198" s="138"/>
      <c r="O198" s="138"/>
      <c r="R198" s="138"/>
      <c r="U198" s="138"/>
      <c r="X198" s="138"/>
    </row>
    <row r="199" spans="4:24" ht="12.75" customHeight="1" x14ac:dyDescent="0.25">
      <c r="D199" s="138"/>
      <c r="E199" s="138"/>
      <c r="L199" s="138"/>
      <c r="O199" s="138"/>
      <c r="R199" s="138"/>
      <c r="U199" s="138"/>
      <c r="X199" s="138"/>
    </row>
    <row r="200" spans="4:24" ht="12.75" customHeight="1" x14ac:dyDescent="0.25">
      <c r="D200" s="138"/>
      <c r="E200" s="138"/>
      <c r="L200" s="138"/>
      <c r="O200" s="138"/>
      <c r="R200" s="138"/>
      <c r="U200" s="138"/>
      <c r="X200" s="138"/>
    </row>
    <row r="201" spans="4:24" ht="12.75" customHeight="1" x14ac:dyDescent="0.25">
      <c r="D201" s="138"/>
      <c r="E201" s="138"/>
      <c r="L201" s="138"/>
      <c r="O201" s="138"/>
      <c r="R201" s="138"/>
      <c r="U201" s="138"/>
      <c r="X201" s="138"/>
    </row>
    <row r="202" spans="4:24" ht="12.75" customHeight="1" x14ac:dyDescent="0.25">
      <c r="D202" s="138"/>
      <c r="E202" s="138"/>
      <c r="L202" s="138"/>
      <c r="O202" s="138"/>
      <c r="R202" s="138"/>
      <c r="U202" s="138"/>
      <c r="X202" s="138"/>
    </row>
    <row r="203" spans="4:24" ht="12.75" customHeight="1" x14ac:dyDescent="0.25">
      <c r="D203" s="138"/>
      <c r="E203" s="138"/>
      <c r="L203" s="138"/>
      <c r="O203" s="138"/>
      <c r="R203" s="138"/>
      <c r="U203" s="138"/>
      <c r="X203" s="138"/>
    </row>
    <row r="204" spans="4:24" ht="12.75" customHeight="1" x14ac:dyDescent="0.25">
      <c r="D204" s="138"/>
      <c r="E204" s="138"/>
      <c r="L204" s="138"/>
      <c r="O204" s="138"/>
      <c r="R204" s="138"/>
      <c r="U204" s="138"/>
      <c r="X204" s="138"/>
    </row>
    <row r="205" spans="4:24" ht="12.75" customHeight="1" x14ac:dyDescent="0.25">
      <c r="D205" s="138"/>
      <c r="E205" s="138"/>
      <c r="L205" s="138"/>
      <c r="O205" s="138"/>
      <c r="R205" s="138"/>
      <c r="U205" s="138"/>
      <c r="X205" s="138"/>
    </row>
    <row r="206" spans="4:24" ht="12.75" customHeight="1" x14ac:dyDescent="0.25">
      <c r="D206" s="138"/>
      <c r="E206" s="138"/>
      <c r="L206" s="138"/>
      <c r="O206" s="138"/>
      <c r="R206" s="138"/>
      <c r="U206" s="138"/>
      <c r="X206" s="138"/>
    </row>
    <row r="207" spans="4:24" ht="12.75" customHeight="1" x14ac:dyDescent="0.25">
      <c r="D207" s="138"/>
      <c r="E207" s="138"/>
      <c r="L207" s="138"/>
      <c r="O207" s="138"/>
      <c r="R207" s="138"/>
      <c r="U207" s="138"/>
      <c r="X207" s="138"/>
    </row>
    <row r="208" spans="4:24" ht="12.75" customHeight="1" x14ac:dyDescent="0.25">
      <c r="D208" s="138"/>
      <c r="E208" s="138"/>
      <c r="L208" s="138"/>
      <c r="O208" s="138"/>
      <c r="R208" s="138"/>
      <c r="U208" s="138"/>
      <c r="X208" s="138"/>
    </row>
    <row r="209" spans="4:24" ht="12.75" customHeight="1" x14ac:dyDescent="0.25">
      <c r="D209" s="138"/>
      <c r="E209" s="138"/>
      <c r="L209" s="138"/>
      <c r="O209" s="138"/>
      <c r="R209" s="138"/>
      <c r="U209" s="138"/>
      <c r="X209" s="138"/>
    </row>
    <row r="210" spans="4:24" ht="12.75" customHeight="1" x14ac:dyDescent="0.25">
      <c r="D210" s="138"/>
      <c r="E210" s="138"/>
      <c r="L210" s="138"/>
      <c r="O210" s="138"/>
      <c r="R210" s="138"/>
      <c r="U210" s="138"/>
      <c r="X210" s="138"/>
    </row>
    <row r="211" spans="4:24" ht="12.75" customHeight="1" x14ac:dyDescent="0.25">
      <c r="D211" s="138"/>
      <c r="E211" s="138"/>
      <c r="L211" s="138"/>
      <c r="O211" s="138"/>
      <c r="R211" s="138"/>
      <c r="U211" s="138"/>
      <c r="X211" s="138"/>
    </row>
    <row r="212" spans="4:24" ht="12.75" customHeight="1" x14ac:dyDescent="0.25">
      <c r="D212" s="138"/>
      <c r="E212" s="138"/>
      <c r="L212" s="138"/>
      <c r="O212" s="138"/>
      <c r="R212" s="138"/>
      <c r="U212" s="138"/>
      <c r="X212" s="138"/>
    </row>
    <row r="213" spans="4:24" ht="12.75" customHeight="1" x14ac:dyDescent="0.25">
      <c r="D213" s="138"/>
      <c r="E213" s="138"/>
      <c r="L213" s="138"/>
      <c r="O213" s="138"/>
      <c r="R213" s="138"/>
      <c r="U213" s="138"/>
      <c r="X213" s="138"/>
    </row>
    <row r="214" spans="4:24" ht="12.75" customHeight="1" x14ac:dyDescent="0.25">
      <c r="D214" s="138"/>
      <c r="E214" s="138"/>
      <c r="L214" s="138"/>
      <c r="O214" s="138"/>
      <c r="R214" s="138"/>
      <c r="U214" s="138"/>
      <c r="X214" s="138"/>
    </row>
    <row r="215" spans="4:24" ht="12.75" customHeight="1" x14ac:dyDescent="0.25">
      <c r="D215" s="138"/>
      <c r="E215" s="138"/>
      <c r="L215" s="138"/>
      <c r="O215" s="138"/>
      <c r="R215" s="138"/>
      <c r="U215" s="138"/>
      <c r="X215" s="138"/>
    </row>
    <row r="216" spans="4:24" ht="12.75" customHeight="1" x14ac:dyDescent="0.25">
      <c r="D216" s="138"/>
      <c r="E216" s="138"/>
      <c r="L216" s="138"/>
      <c r="O216" s="138"/>
      <c r="R216" s="138"/>
      <c r="U216" s="138"/>
      <c r="X216" s="138"/>
    </row>
    <row r="217" spans="4:24" ht="12.75" customHeight="1" x14ac:dyDescent="0.25">
      <c r="D217" s="138"/>
      <c r="E217" s="138"/>
      <c r="L217" s="138"/>
      <c r="O217" s="138"/>
      <c r="R217" s="138"/>
      <c r="U217" s="138"/>
      <c r="X217" s="138"/>
    </row>
    <row r="218" spans="4:24" ht="12.75" customHeight="1" x14ac:dyDescent="0.25">
      <c r="D218" s="138"/>
      <c r="E218" s="138"/>
      <c r="L218" s="138"/>
      <c r="O218" s="138"/>
      <c r="R218" s="138"/>
      <c r="U218" s="138"/>
      <c r="X218" s="138"/>
    </row>
    <row r="219" spans="4:24" ht="12.75" customHeight="1" x14ac:dyDescent="0.25">
      <c r="D219" s="138"/>
      <c r="E219" s="138"/>
      <c r="L219" s="138"/>
      <c r="O219" s="138"/>
      <c r="R219" s="138"/>
      <c r="U219" s="138"/>
      <c r="X219" s="138"/>
    </row>
    <row r="220" spans="4:24" ht="12.75" customHeight="1" x14ac:dyDescent="0.25">
      <c r="D220" s="138"/>
      <c r="E220" s="138"/>
      <c r="L220" s="138"/>
      <c r="O220" s="138"/>
      <c r="R220" s="138"/>
      <c r="U220" s="138"/>
      <c r="X220" s="138"/>
    </row>
    <row r="221" spans="4:24" ht="12.75" customHeight="1" x14ac:dyDescent="0.25">
      <c r="D221" s="138"/>
      <c r="E221" s="138"/>
      <c r="L221" s="138"/>
      <c r="O221" s="138"/>
      <c r="R221" s="138"/>
      <c r="U221" s="138"/>
      <c r="X221" s="138"/>
    </row>
    <row r="222" spans="4:24" ht="12.75" customHeight="1" x14ac:dyDescent="0.25">
      <c r="D222" s="138"/>
      <c r="E222" s="138"/>
      <c r="L222" s="138"/>
      <c r="O222" s="138"/>
      <c r="R222" s="138"/>
      <c r="U222" s="138"/>
      <c r="X222" s="138"/>
    </row>
    <row r="223" spans="4:24" ht="12.75" customHeight="1" x14ac:dyDescent="0.25">
      <c r="D223" s="138"/>
      <c r="E223" s="138"/>
      <c r="L223" s="138"/>
      <c r="O223" s="138"/>
      <c r="R223" s="138"/>
      <c r="U223" s="138"/>
      <c r="X223" s="138"/>
    </row>
    <row r="224" spans="4:24" ht="12.75" customHeight="1" x14ac:dyDescent="0.25">
      <c r="D224" s="138"/>
      <c r="E224" s="138"/>
      <c r="L224" s="138"/>
      <c r="O224" s="138"/>
      <c r="R224" s="138"/>
      <c r="U224" s="138"/>
      <c r="X224" s="138"/>
    </row>
    <row r="225" spans="4:24" ht="12.75" customHeight="1" x14ac:dyDescent="0.25">
      <c r="D225" s="138"/>
      <c r="E225" s="138"/>
      <c r="L225" s="138"/>
      <c r="O225" s="138"/>
      <c r="R225" s="138"/>
      <c r="U225" s="138"/>
      <c r="X225" s="138"/>
    </row>
    <row r="226" spans="4:24" ht="12.75" customHeight="1" x14ac:dyDescent="0.25">
      <c r="D226" s="138"/>
      <c r="E226" s="138"/>
      <c r="L226" s="138"/>
      <c r="O226" s="138"/>
      <c r="R226" s="138"/>
      <c r="U226" s="138"/>
      <c r="X226" s="138"/>
    </row>
    <row r="227" spans="4:24" ht="12.75" customHeight="1" x14ac:dyDescent="0.25">
      <c r="D227" s="138"/>
      <c r="E227" s="138"/>
      <c r="L227" s="138"/>
      <c r="O227" s="138"/>
      <c r="R227" s="138"/>
      <c r="U227" s="138"/>
      <c r="X227" s="138"/>
    </row>
    <row r="228" spans="4:24" ht="12.75" customHeight="1" x14ac:dyDescent="0.25">
      <c r="D228" s="138"/>
      <c r="E228" s="138"/>
      <c r="L228" s="138"/>
      <c r="O228" s="138"/>
      <c r="R228" s="138"/>
      <c r="U228" s="138"/>
      <c r="X228" s="138"/>
    </row>
    <row r="229" spans="4:24" ht="12.75" customHeight="1" x14ac:dyDescent="0.25">
      <c r="D229" s="138"/>
      <c r="E229" s="138"/>
      <c r="L229" s="138"/>
      <c r="O229" s="138"/>
      <c r="R229" s="138"/>
      <c r="U229" s="138"/>
      <c r="X229" s="138"/>
    </row>
    <row r="230" spans="4:24" ht="12.75" customHeight="1" x14ac:dyDescent="0.25">
      <c r="D230" s="138"/>
      <c r="E230" s="138"/>
      <c r="L230" s="138"/>
      <c r="O230" s="138"/>
      <c r="R230" s="138"/>
      <c r="U230" s="138"/>
      <c r="X230" s="138"/>
    </row>
    <row r="231" spans="4:24" ht="12.75" customHeight="1" x14ac:dyDescent="0.25">
      <c r="D231" s="138"/>
      <c r="E231" s="138"/>
      <c r="L231" s="138"/>
      <c r="O231" s="138"/>
      <c r="R231" s="138"/>
      <c r="U231" s="138"/>
      <c r="X231" s="138"/>
    </row>
    <row r="232" spans="4:24" ht="12.75" customHeight="1" x14ac:dyDescent="0.25">
      <c r="D232" s="138"/>
      <c r="E232" s="138"/>
      <c r="L232" s="138"/>
      <c r="O232" s="138"/>
      <c r="R232" s="138"/>
      <c r="U232" s="138"/>
      <c r="X232" s="138"/>
    </row>
    <row r="233" spans="4:24" ht="12.75" customHeight="1" x14ac:dyDescent="0.25">
      <c r="D233" s="138"/>
      <c r="E233" s="138"/>
      <c r="L233" s="138"/>
      <c r="O233" s="138"/>
      <c r="R233" s="138"/>
      <c r="U233" s="138"/>
      <c r="X233" s="138"/>
    </row>
    <row r="234" spans="4:24" ht="12.75" customHeight="1" x14ac:dyDescent="0.25">
      <c r="D234" s="138"/>
      <c r="E234" s="138"/>
      <c r="L234" s="138"/>
      <c r="O234" s="138"/>
      <c r="R234" s="138"/>
      <c r="U234" s="138"/>
      <c r="X234" s="138"/>
    </row>
    <row r="235" spans="4:24" ht="12.75" customHeight="1" x14ac:dyDescent="0.25">
      <c r="D235" s="138"/>
      <c r="E235" s="138"/>
      <c r="L235" s="138"/>
      <c r="O235" s="138"/>
      <c r="R235" s="138"/>
      <c r="U235" s="138"/>
      <c r="X235" s="138"/>
    </row>
    <row r="236" spans="4:24" ht="12.75" customHeight="1" x14ac:dyDescent="0.25">
      <c r="D236" s="138"/>
      <c r="E236" s="138"/>
      <c r="L236" s="138"/>
      <c r="O236" s="138"/>
      <c r="R236" s="138"/>
      <c r="U236" s="138"/>
      <c r="X236" s="138"/>
    </row>
    <row r="237" spans="4:24" ht="12.75" customHeight="1" x14ac:dyDescent="0.25">
      <c r="D237" s="138"/>
      <c r="E237" s="138"/>
      <c r="L237" s="138"/>
      <c r="O237" s="138"/>
      <c r="R237" s="138"/>
      <c r="U237" s="138"/>
      <c r="X237" s="138"/>
    </row>
    <row r="238" spans="4:24" ht="12.75" customHeight="1" x14ac:dyDescent="0.25">
      <c r="D238" s="138"/>
      <c r="E238" s="138"/>
      <c r="L238" s="138"/>
      <c r="O238" s="138"/>
      <c r="R238" s="138"/>
      <c r="U238" s="138"/>
      <c r="X238" s="138"/>
    </row>
    <row r="239" spans="4:24" ht="12.75" customHeight="1" x14ac:dyDescent="0.25">
      <c r="D239" s="138"/>
      <c r="E239" s="138"/>
      <c r="L239" s="138"/>
      <c r="O239" s="138"/>
      <c r="R239" s="138"/>
      <c r="U239" s="138"/>
      <c r="X239" s="138"/>
    </row>
    <row r="240" spans="4:24" ht="12.75" customHeight="1" x14ac:dyDescent="0.25">
      <c r="D240" s="138"/>
      <c r="E240" s="138"/>
      <c r="L240" s="138"/>
      <c r="O240" s="138"/>
      <c r="R240" s="138"/>
      <c r="U240" s="138"/>
      <c r="X240" s="138"/>
    </row>
    <row r="241" spans="4:24" ht="12.75" customHeight="1" x14ac:dyDescent="0.25">
      <c r="D241" s="138"/>
      <c r="E241" s="138"/>
      <c r="L241" s="138"/>
      <c r="O241" s="138"/>
      <c r="R241" s="138"/>
      <c r="U241" s="138"/>
      <c r="X241" s="138"/>
    </row>
    <row r="242" spans="4:24" ht="12.75" customHeight="1" x14ac:dyDescent="0.25">
      <c r="D242" s="138"/>
      <c r="E242" s="138"/>
      <c r="L242" s="138"/>
      <c r="O242" s="138"/>
      <c r="R242" s="138"/>
      <c r="U242" s="138"/>
      <c r="X242" s="138"/>
    </row>
    <row r="243" spans="4:24" ht="12.75" customHeight="1" x14ac:dyDescent="0.25">
      <c r="D243" s="138"/>
      <c r="E243" s="138"/>
      <c r="L243" s="138"/>
      <c r="O243" s="138"/>
      <c r="R243" s="138"/>
      <c r="U243" s="138"/>
      <c r="X243" s="138"/>
    </row>
    <row r="244" spans="4:24" ht="12.75" customHeight="1" x14ac:dyDescent="0.25">
      <c r="D244" s="138"/>
      <c r="E244" s="138"/>
      <c r="L244" s="138"/>
      <c r="O244" s="138"/>
      <c r="R244" s="138"/>
      <c r="U244" s="138"/>
      <c r="X244" s="138"/>
    </row>
    <row r="245" spans="4:24" ht="12.75" customHeight="1" x14ac:dyDescent="0.25">
      <c r="D245" s="138"/>
      <c r="E245" s="138"/>
      <c r="L245" s="138"/>
      <c r="O245" s="138"/>
      <c r="R245" s="138"/>
      <c r="U245" s="138"/>
      <c r="X245" s="138"/>
    </row>
    <row r="246" spans="4:24" ht="12.75" customHeight="1" x14ac:dyDescent="0.25">
      <c r="D246" s="138"/>
      <c r="E246" s="138"/>
      <c r="L246" s="138"/>
      <c r="O246" s="138"/>
      <c r="R246" s="138"/>
      <c r="U246" s="138"/>
      <c r="X246" s="138"/>
    </row>
    <row r="247" spans="4:24" ht="12.75" customHeight="1" x14ac:dyDescent="0.25">
      <c r="D247" s="138"/>
      <c r="E247" s="138"/>
      <c r="L247" s="138"/>
      <c r="O247" s="138"/>
      <c r="R247" s="138"/>
      <c r="U247" s="138"/>
      <c r="X247" s="138"/>
    </row>
    <row r="248" spans="4:24" ht="12.75" customHeight="1" x14ac:dyDescent="0.25">
      <c r="D248" s="138"/>
      <c r="E248" s="138"/>
      <c r="L248" s="138"/>
      <c r="O248" s="138"/>
      <c r="R248" s="138"/>
      <c r="U248" s="138"/>
      <c r="X248" s="138"/>
    </row>
    <row r="249" spans="4:24" ht="12.75" customHeight="1" x14ac:dyDescent="0.25">
      <c r="D249" s="138"/>
      <c r="E249" s="138"/>
      <c r="L249" s="138"/>
      <c r="O249" s="138"/>
      <c r="R249" s="138"/>
      <c r="U249" s="138"/>
      <c r="X249" s="138"/>
    </row>
    <row r="250" spans="4:24" ht="12.75" customHeight="1" x14ac:dyDescent="0.25">
      <c r="D250" s="138"/>
      <c r="E250" s="138"/>
      <c r="L250" s="138"/>
      <c r="O250" s="138"/>
      <c r="R250" s="138"/>
      <c r="U250" s="138"/>
      <c r="X250" s="138"/>
    </row>
    <row r="251" spans="4:24" ht="12.75" customHeight="1" x14ac:dyDescent="0.25">
      <c r="D251" s="138"/>
      <c r="E251" s="138"/>
      <c r="L251" s="138"/>
      <c r="O251" s="138"/>
      <c r="R251" s="138"/>
      <c r="U251" s="138"/>
      <c r="X251" s="138"/>
    </row>
    <row r="252" spans="4:24" ht="12.75" customHeight="1" x14ac:dyDescent="0.25">
      <c r="D252" s="138"/>
      <c r="E252" s="138"/>
      <c r="L252" s="138"/>
      <c r="O252" s="138"/>
      <c r="R252" s="138"/>
      <c r="U252" s="138"/>
      <c r="X252" s="138"/>
    </row>
    <row r="253" spans="4:24" ht="12.75" customHeight="1" x14ac:dyDescent="0.25">
      <c r="D253" s="138"/>
      <c r="E253" s="138"/>
      <c r="L253" s="138"/>
      <c r="O253" s="138"/>
      <c r="R253" s="138"/>
      <c r="U253" s="138"/>
      <c r="X253" s="138"/>
    </row>
    <row r="254" spans="4:24" ht="12.75" customHeight="1" x14ac:dyDescent="0.25">
      <c r="D254" s="138"/>
      <c r="E254" s="138"/>
      <c r="L254" s="138"/>
      <c r="O254" s="138"/>
      <c r="R254" s="138"/>
      <c r="U254" s="138"/>
      <c r="X254" s="138"/>
    </row>
    <row r="255" spans="4:24" ht="12.75" customHeight="1" x14ac:dyDescent="0.25">
      <c r="D255" s="138"/>
      <c r="E255" s="138"/>
      <c r="L255" s="138"/>
      <c r="O255" s="138"/>
      <c r="R255" s="138"/>
      <c r="U255" s="138"/>
      <c r="X255" s="138"/>
    </row>
    <row r="256" spans="4:24" ht="12.75" customHeight="1" x14ac:dyDescent="0.25">
      <c r="D256" s="138"/>
      <c r="E256" s="138"/>
      <c r="L256" s="138"/>
      <c r="O256" s="138"/>
      <c r="R256" s="138"/>
      <c r="U256" s="138"/>
      <c r="X256" s="138"/>
    </row>
    <row r="257" spans="4:24" ht="12.75" customHeight="1" x14ac:dyDescent="0.25">
      <c r="D257" s="138"/>
      <c r="E257" s="138"/>
      <c r="L257" s="138"/>
      <c r="O257" s="138"/>
      <c r="R257" s="138"/>
      <c r="U257" s="138"/>
      <c r="X257" s="138"/>
    </row>
    <row r="258" spans="4:24" ht="12.75" customHeight="1" x14ac:dyDescent="0.25">
      <c r="D258" s="138"/>
      <c r="E258" s="138"/>
      <c r="L258" s="138"/>
      <c r="O258" s="138"/>
      <c r="R258" s="138"/>
      <c r="U258" s="138"/>
      <c r="X258" s="138"/>
    </row>
    <row r="259" spans="4:24" ht="12.75" customHeight="1" x14ac:dyDescent="0.25">
      <c r="D259" s="138"/>
      <c r="E259" s="138"/>
      <c r="L259" s="138"/>
      <c r="O259" s="138"/>
      <c r="R259" s="138"/>
      <c r="U259" s="138"/>
      <c r="X259" s="138"/>
    </row>
    <row r="260" spans="4:24" ht="12.75" customHeight="1" x14ac:dyDescent="0.25">
      <c r="D260" s="138"/>
      <c r="E260" s="138"/>
      <c r="L260" s="138"/>
      <c r="O260" s="138"/>
      <c r="R260" s="138"/>
      <c r="U260" s="138"/>
      <c r="X260" s="138"/>
    </row>
    <row r="261" spans="4:24" ht="12.75" customHeight="1" x14ac:dyDescent="0.25">
      <c r="D261" s="138"/>
      <c r="E261" s="138"/>
      <c r="L261" s="138"/>
      <c r="O261" s="138"/>
      <c r="R261" s="138"/>
      <c r="U261" s="138"/>
      <c r="X261" s="138"/>
    </row>
    <row r="262" spans="4:24" ht="12.75" customHeight="1" x14ac:dyDescent="0.25">
      <c r="D262" s="138"/>
      <c r="E262" s="138"/>
      <c r="L262" s="138"/>
      <c r="O262" s="138"/>
      <c r="R262" s="138"/>
      <c r="U262" s="138"/>
      <c r="X262" s="138"/>
    </row>
    <row r="263" spans="4:24" ht="12.75" customHeight="1" x14ac:dyDescent="0.25">
      <c r="D263" s="138"/>
      <c r="E263" s="138"/>
      <c r="L263" s="138"/>
      <c r="O263" s="138"/>
      <c r="R263" s="138"/>
      <c r="U263" s="138"/>
      <c r="X263" s="138"/>
    </row>
    <row r="264" spans="4:24" ht="12.75" customHeight="1" x14ac:dyDescent="0.25">
      <c r="D264" s="138"/>
      <c r="E264" s="138"/>
      <c r="L264" s="138"/>
      <c r="O264" s="138"/>
      <c r="R264" s="138"/>
      <c r="U264" s="138"/>
      <c r="X264" s="138"/>
    </row>
    <row r="265" spans="4:24" ht="12.75" customHeight="1" x14ac:dyDescent="0.25">
      <c r="D265" s="138"/>
      <c r="E265" s="138"/>
      <c r="L265" s="138"/>
      <c r="O265" s="138"/>
      <c r="R265" s="138"/>
      <c r="U265" s="138"/>
      <c r="X265" s="138"/>
    </row>
    <row r="266" spans="4:24" ht="12.75" customHeight="1" x14ac:dyDescent="0.25">
      <c r="D266" s="138"/>
      <c r="E266" s="138"/>
      <c r="L266" s="138"/>
      <c r="O266" s="138"/>
      <c r="R266" s="138"/>
      <c r="U266" s="138"/>
      <c r="X266" s="138"/>
    </row>
    <row r="267" spans="4:24" ht="12.75" customHeight="1" x14ac:dyDescent="0.25">
      <c r="D267" s="138"/>
      <c r="E267" s="138"/>
      <c r="L267" s="138"/>
      <c r="O267" s="138"/>
      <c r="R267" s="138"/>
      <c r="U267" s="138"/>
      <c r="X267" s="138"/>
    </row>
    <row r="268" spans="4:24" ht="12.75" customHeight="1" x14ac:dyDescent="0.25">
      <c r="D268" s="138"/>
      <c r="E268" s="138"/>
      <c r="L268" s="138"/>
      <c r="O268" s="138"/>
      <c r="R268" s="138"/>
      <c r="U268" s="138"/>
      <c r="X268" s="138"/>
    </row>
    <row r="269" spans="4:24" ht="12.75" customHeight="1" x14ac:dyDescent="0.25">
      <c r="D269" s="138"/>
      <c r="E269" s="138"/>
      <c r="L269" s="138"/>
      <c r="O269" s="138"/>
      <c r="R269" s="138"/>
      <c r="U269" s="138"/>
      <c r="X269" s="138"/>
    </row>
    <row r="270" spans="4:24" ht="12.75" customHeight="1" x14ac:dyDescent="0.25">
      <c r="D270" s="138"/>
      <c r="E270" s="138"/>
      <c r="L270" s="138"/>
      <c r="O270" s="138"/>
      <c r="R270" s="138"/>
      <c r="U270" s="138"/>
      <c r="X270" s="138"/>
    </row>
    <row r="271" spans="4:24" ht="12.75" customHeight="1" x14ac:dyDescent="0.25">
      <c r="D271" s="138"/>
      <c r="E271" s="138"/>
      <c r="L271" s="138"/>
      <c r="O271" s="138"/>
      <c r="R271" s="138"/>
      <c r="U271" s="138"/>
      <c r="X271" s="138"/>
    </row>
    <row r="272" spans="4:24" ht="12.75" customHeight="1" x14ac:dyDescent="0.25">
      <c r="D272" s="138"/>
      <c r="E272" s="138"/>
      <c r="L272" s="138"/>
      <c r="O272" s="138"/>
      <c r="R272" s="138"/>
      <c r="U272" s="138"/>
      <c r="X272" s="138"/>
    </row>
    <row r="273" spans="4:24" ht="12.75" customHeight="1" x14ac:dyDescent="0.25">
      <c r="D273" s="138"/>
      <c r="E273" s="138"/>
      <c r="L273" s="138"/>
      <c r="O273" s="138"/>
      <c r="R273" s="138"/>
      <c r="U273" s="138"/>
      <c r="X273" s="138"/>
    </row>
    <row r="274" spans="4:24" ht="12.75" customHeight="1" x14ac:dyDescent="0.25">
      <c r="D274" s="138"/>
      <c r="E274" s="138"/>
      <c r="L274" s="138"/>
      <c r="O274" s="138"/>
      <c r="R274" s="138"/>
      <c r="U274" s="138"/>
      <c r="X274" s="138"/>
    </row>
    <row r="275" spans="4:24" ht="12.75" customHeight="1" x14ac:dyDescent="0.25">
      <c r="D275" s="138"/>
      <c r="E275" s="138"/>
      <c r="L275" s="138"/>
      <c r="O275" s="138"/>
      <c r="R275" s="138"/>
      <c r="U275" s="138"/>
      <c r="X275" s="138"/>
    </row>
    <row r="276" spans="4:24" ht="12.75" customHeight="1" x14ac:dyDescent="0.25">
      <c r="D276" s="138"/>
      <c r="E276" s="138"/>
      <c r="L276" s="138"/>
      <c r="O276" s="138"/>
      <c r="R276" s="138"/>
      <c r="U276" s="138"/>
      <c r="X276" s="138"/>
    </row>
    <row r="277" spans="4:24" ht="12.75" customHeight="1" x14ac:dyDescent="0.25">
      <c r="D277" s="138"/>
      <c r="E277" s="138"/>
      <c r="L277" s="138"/>
      <c r="O277" s="138"/>
      <c r="R277" s="138"/>
      <c r="U277" s="138"/>
      <c r="X277" s="138"/>
    </row>
    <row r="278" spans="4:24" ht="12.75" customHeight="1" x14ac:dyDescent="0.25">
      <c r="D278" s="138"/>
      <c r="E278" s="138"/>
      <c r="L278" s="138"/>
      <c r="O278" s="138"/>
      <c r="R278" s="138"/>
      <c r="U278" s="138"/>
      <c r="X278" s="138"/>
    </row>
    <row r="279" spans="4:24" ht="12.75" customHeight="1" x14ac:dyDescent="0.25">
      <c r="D279" s="138"/>
      <c r="E279" s="138"/>
      <c r="L279" s="138"/>
      <c r="O279" s="138"/>
      <c r="R279" s="138"/>
      <c r="U279" s="138"/>
      <c r="X279" s="138"/>
    </row>
    <row r="280" spans="4:24" ht="12.75" customHeight="1" x14ac:dyDescent="0.25">
      <c r="D280" s="138"/>
      <c r="E280" s="138"/>
      <c r="L280" s="138"/>
      <c r="O280" s="138"/>
      <c r="R280" s="138"/>
      <c r="U280" s="138"/>
      <c r="X280" s="138"/>
    </row>
    <row r="281" spans="4:24" ht="12.75" customHeight="1" x14ac:dyDescent="0.25">
      <c r="D281" s="138"/>
      <c r="E281" s="138"/>
      <c r="L281" s="138"/>
      <c r="O281" s="138"/>
      <c r="R281" s="138"/>
      <c r="U281" s="138"/>
      <c r="X281" s="138"/>
    </row>
    <row r="282" spans="4:24" ht="12.75" customHeight="1" x14ac:dyDescent="0.25">
      <c r="D282" s="138"/>
      <c r="E282" s="138"/>
      <c r="L282" s="138"/>
      <c r="O282" s="138"/>
      <c r="R282" s="138"/>
      <c r="U282" s="138"/>
      <c r="X282" s="138"/>
    </row>
    <row r="283" spans="4:24" ht="12.75" customHeight="1" x14ac:dyDescent="0.25">
      <c r="D283" s="138"/>
      <c r="E283" s="138"/>
      <c r="L283" s="138"/>
      <c r="O283" s="138"/>
      <c r="R283" s="138"/>
      <c r="U283" s="138"/>
      <c r="X283" s="138"/>
    </row>
    <row r="284" spans="4:24" ht="12.75" customHeight="1" x14ac:dyDescent="0.25">
      <c r="D284" s="138"/>
      <c r="E284" s="138"/>
      <c r="L284" s="138"/>
      <c r="O284" s="138"/>
      <c r="R284" s="138"/>
      <c r="U284" s="138"/>
      <c r="X284" s="138"/>
    </row>
    <row r="285" spans="4:24" ht="12.75" customHeight="1" x14ac:dyDescent="0.25">
      <c r="D285" s="138"/>
      <c r="E285" s="138"/>
      <c r="L285" s="138"/>
      <c r="O285" s="138"/>
      <c r="R285" s="138"/>
      <c r="U285" s="138"/>
      <c r="X285" s="138"/>
    </row>
    <row r="286" spans="4:24" ht="12.75" customHeight="1" x14ac:dyDescent="0.25">
      <c r="D286" s="138"/>
      <c r="E286" s="138"/>
      <c r="L286" s="138"/>
      <c r="O286" s="138"/>
      <c r="R286" s="138"/>
      <c r="U286" s="138"/>
      <c r="X286" s="138"/>
    </row>
    <row r="287" spans="4:24" ht="12.75" customHeight="1" x14ac:dyDescent="0.25">
      <c r="D287" s="138"/>
      <c r="E287" s="138"/>
      <c r="L287" s="138"/>
      <c r="O287" s="138"/>
      <c r="R287" s="138"/>
      <c r="U287" s="138"/>
      <c r="X287" s="138"/>
    </row>
    <row r="288" spans="4:24" ht="12.75" customHeight="1" x14ac:dyDescent="0.25">
      <c r="D288" s="138"/>
      <c r="E288" s="138"/>
      <c r="L288" s="138"/>
      <c r="O288" s="138"/>
      <c r="R288" s="138"/>
      <c r="U288" s="138"/>
      <c r="X288" s="138"/>
    </row>
    <row r="289" spans="4:24" ht="12.75" customHeight="1" x14ac:dyDescent="0.25">
      <c r="D289" s="138"/>
      <c r="E289" s="138"/>
      <c r="L289" s="138"/>
      <c r="O289" s="138"/>
      <c r="R289" s="138"/>
      <c r="U289" s="138"/>
      <c r="X289" s="138"/>
    </row>
    <row r="290" spans="4:24" ht="12.75" customHeight="1" x14ac:dyDescent="0.25">
      <c r="D290" s="138"/>
      <c r="E290" s="138"/>
      <c r="L290" s="138"/>
      <c r="O290" s="138"/>
      <c r="R290" s="138"/>
      <c r="U290" s="138"/>
      <c r="X290" s="138"/>
    </row>
    <row r="291" spans="4:24" ht="12.75" customHeight="1" x14ac:dyDescent="0.25">
      <c r="D291" s="138"/>
      <c r="E291" s="138"/>
      <c r="L291" s="138"/>
      <c r="O291" s="138"/>
      <c r="R291" s="138"/>
      <c r="U291" s="138"/>
      <c r="X291" s="138"/>
    </row>
    <row r="292" spans="4:24" ht="12.75" customHeight="1" x14ac:dyDescent="0.25">
      <c r="D292" s="138"/>
      <c r="E292" s="138"/>
      <c r="L292" s="138"/>
      <c r="O292" s="138"/>
      <c r="R292" s="138"/>
      <c r="U292" s="138"/>
      <c r="X292" s="138"/>
    </row>
    <row r="293" spans="4:24" ht="12.75" customHeight="1" x14ac:dyDescent="0.25">
      <c r="D293" s="138"/>
      <c r="E293" s="138"/>
      <c r="L293" s="138"/>
      <c r="O293" s="138"/>
      <c r="R293" s="138"/>
      <c r="U293" s="138"/>
      <c r="X293" s="138"/>
    </row>
    <row r="294" spans="4:24" ht="12.75" customHeight="1" x14ac:dyDescent="0.25">
      <c r="D294" s="138"/>
      <c r="E294" s="138"/>
      <c r="L294" s="138"/>
      <c r="O294" s="138"/>
      <c r="R294" s="138"/>
      <c r="U294" s="138"/>
      <c r="X294" s="138"/>
    </row>
    <row r="295" spans="4:24" ht="12.75" customHeight="1" x14ac:dyDescent="0.25">
      <c r="D295" s="138"/>
      <c r="E295" s="138"/>
      <c r="L295" s="138"/>
      <c r="O295" s="138"/>
      <c r="R295" s="138"/>
      <c r="U295" s="138"/>
      <c r="X295" s="138"/>
    </row>
    <row r="296" spans="4:24" ht="12.75" customHeight="1" x14ac:dyDescent="0.25">
      <c r="D296" s="138"/>
      <c r="E296" s="138"/>
      <c r="L296" s="138"/>
      <c r="O296" s="138"/>
      <c r="R296" s="138"/>
      <c r="U296" s="138"/>
      <c r="X296" s="138"/>
    </row>
    <row r="297" spans="4:24" ht="12.75" customHeight="1" x14ac:dyDescent="0.25">
      <c r="D297" s="138"/>
      <c r="E297" s="138"/>
      <c r="L297" s="138"/>
      <c r="O297" s="138"/>
      <c r="R297" s="138"/>
      <c r="U297" s="138"/>
      <c r="X297" s="138"/>
    </row>
    <row r="298" spans="4:24" ht="12.75" customHeight="1" x14ac:dyDescent="0.25">
      <c r="D298" s="138"/>
      <c r="E298" s="138"/>
      <c r="L298" s="138"/>
      <c r="O298" s="138"/>
      <c r="R298" s="138"/>
      <c r="U298" s="138"/>
      <c r="X298" s="138"/>
    </row>
    <row r="299" spans="4:24" ht="12.75" customHeight="1" x14ac:dyDescent="0.25">
      <c r="D299" s="138"/>
      <c r="E299" s="138"/>
      <c r="L299" s="138"/>
      <c r="O299" s="138"/>
      <c r="R299" s="138"/>
      <c r="U299" s="138"/>
      <c r="X299" s="138"/>
    </row>
    <row r="300" spans="4:24" ht="12.75" customHeight="1" x14ac:dyDescent="0.25">
      <c r="D300" s="138"/>
      <c r="E300" s="138"/>
      <c r="L300" s="138"/>
      <c r="O300" s="138"/>
      <c r="R300" s="138"/>
      <c r="U300" s="138"/>
      <c r="X300" s="138"/>
    </row>
    <row r="301" spans="4:24" ht="12.75" customHeight="1" x14ac:dyDescent="0.25">
      <c r="D301" s="138"/>
      <c r="E301" s="138"/>
      <c r="L301" s="138"/>
      <c r="O301" s="138"/>
      <c r="R301" s="138"/>
      <c r="U301" s="138"/>
      <c r="X301" s="138"/>
    </row>
    <row r="302" spans="4:24" ht="12.75" customHeight="1" x14ac:dyDescent="0.25">
      <c r="D302" s="138"/>
      <c r="E302" s="138"/>
      <c r="L302" s="138"/>
      <c r="O302" s="138"/>
      <c r="R302" s="138"/>
      <c r="U302" s="138"/>
      <c r="X302" s="138"/>
    </row>
    <row r="303" spans="4:24" ht="12.75" customHeight="1" x14ac:dyDescent="0.25">
      <c r="D303" s="138"/>
      <c r="E303" s="138"/>
      <c r="L303" s="138"/>
      <c r="O303" s="138"/>
      <c r="R303" s="138"/>
      <c r="U303" s="138"/>
      <c r="X303" s="138"/>
    </row>
    <row r="304" spans="4:24" ht="12.75" customHeight="1" x14ac:dyDescent="0.25">
      <c r="D304" s="138"/>
      <c r="E304" s="138"/>
      <c r="L304" s="138"/>
      <c r="O304" s="138"/>
      <c r="R304" s="138"/>
      <c r="U304" s="138"/>
      <c r="X304" s="138"/>
    </row>
    <row r="305" spans="4:24" ht="12.75" customHeight="1" x14ac:dyDescent="0.25">
      <c r="D305" s="138"/>
      <c r="E305" s="138"/>
      <c r="L305" s="138"/>
      <c r="O305" s="138"/>
      <c r="R305" s="138"/>
      <c r="U305" s="138"/>
      <c r="X305" s="138"/>
    </row>
    <row r="306" spans="4:24" ht="12.75" customHeight="1" x14ac:dyDescent="0.25">
      <c r="D306" s="138"/>
      <c r="E306" s="138"/>
      <c r="L306" s="138"/>
      <c r="O306" s="138"/>
      <c r="R306" s="138"/>
      <c r="U306" s="138"/>
      <c r="X306" s="138"/>
    </row>
    <row r="307" spans="4:24" ht="12.75" customHeight="1" x14ac:dyDescent="0.25">
      <c r="D307" s="138"/>
      <c r="E307" s="138"/>
      <c r="L307" s="138"/>
      <c r="O307" s="138"/>
      <c r="R307" s="138"/>
      <c r="U307" s="138"/>
      <c r="X307" s="138"/>
    </row>
    <row r="308" spans="4:24" ht="12.75" customHeight="1" x14ac:dyDescent="0.25">
      <c r="D308" s="138"/>
      <c r="E308" s="138"/>
      <c r="L308" s="138"/>
      <c r="O308" s="138"/>
      <c r="R308" s="138"/>
      <c r="U308" s="138"/>
      <c r="X308" s="138"/>
    </row>
    <row r="309" spans="4:24" ht="12.75" customHeight="1" x14ac:dyDescent="0.25">
      <c r="D309" s="138"/>
      <c r="E309" s="138"/>
      <c r="L309" s="138"/>
      <c r="O309" s="138"/>
      <c r="R309" s="138"/>
      <c r="U309" s="138"/>
      <c r="X309" s="138"/>
    </row>
    <row r="310" spans="4:24" ht="12.75" customHeight="1" x14ac:dyDescent="0.25">
      <c r="D310" s="138"/>
      <c r="E310" s="138"/>
      <c r="L310" s="138"/>
      <c r="O310" s="138"/>
      <c r="R310" s="138"/>
      <c r="U310" s="138"/>
      <c r="X310" s="138"/>
    </row>
    <row r="311" spans="4:24" ht="12.75" customHeight="1" x14ac:dyDescent="0.25">
      <c r="D311" s="138"/>
      <c r="E311" s="138"/>
      <c r="L311" s="138"/>
      <c r="O311" s="138"/>
      <c r="R311" s="138"/>
      <c r="U311" s="138"/>
      <c r="X311" s="138"/>
    </row>
    <row r="312" spans="4:24" ht="12.75" customHeight="1" x14ac:dyDescent="0.25">
      <c r="D312" s="138"/>
      <c r="E312" s="138"/>
      <c r="L312" s="138"/>
      <c r="O312" s="138"/>
      <c r="R312" s="138"/>
      <c r="U312" s="138"/>
      <c r="X312" s="138"/>
    </row>
    <row r="313" spans="4:24" ht="12.75" customHeight="1" x14ac:dyDescent="0.25">
      <c r="D313" s="138"/>
      <c r="E313" s="138"/>
      <c r="L313" s="138"/>
      <c r="O313" s="138"/>
      <c r="R313" s="138"/>
      <c r="U313" s="138"/>
      <c r="X313" s="138"/>
    </row>
    <row r="314" spans="4:24" ht="12.75" customHeight="1" x14ac:dyDescent="0.25">
      <c r="D314" s="138"/>
      <c r="E314" s="138"/>
      <c r="L314" s="138"/>
      <c r="O314" s="138"/>
      <c r="R314" s="138"/>
      <c r="U314" s="138"/>
      <c r="X314" s="138"/>
    </row>
    <row r="315" spans="4:24" ht="12.75" customHeight="1" x14ac:dyDescent="0.25">
      <c r="D315" s="138"/>
      <c r="E315" s="138"/>
      <c r="L315" s="138"/>
      <c r="O315" s="138"/>
      <c r="R315" s="138"/>
      <c r="U315" s="138"/>
      <c r="X315" s="138"/>
    </row>
    <row r="316" spans="4:24" ht="12.75" customHeight="1" x14ac:dyDescent="0.25">
      <c r="D316" s="138"/>
      <c r="E316" s="138"/>
      <c r="L316" s="138"/>
      <c r="O316" s="138"/>
      <c r="R316" s="138"/>
      <c r="U316" s="138"/>
      <c r="X316" s="138"/>
    </row>
    <row r="317" spans="4:24" ht="12.75" customHeight="1" x14ac:dyDescent="0.25">
      <c r="D317" s="138"/>
      <c r="E317" s="138"/>
      <c r="L317" s="138"/>
      <c r="O317" s="138"/>
      <c r="R317" s="138"/>
      <c r="U317" s="138"/>
      <c r="X317" s="138"/>
    </row>
    <row r="318" spans="4:24" ht="12.75" customHeight="1" x14ac:dyDescent="0.25">
      <c r="D318" s="138"/>
      <c r="E318" s="138"/>
      <c r="L318" s="138"/>
      <c r="O318" s="138"/>
      <c r="R318" s="138"/>
      <c r="U318" s="138"/>
      <c r="X318" s="138"/>
    </row>
    <row r="319" spans="4:24" ht="12.75" customHeight="1" x14ac:dyDescent="0.25">
      <c r="D319" s="138"/>
      <c r="E319" s="138"/>
      <c r="L319" s="138"/>
      <c r="O319" s="138"/>
      <c r="R319" s="138"/>
      <c r="U319" s="138"/>
      <c r="X319" s="138"/>
    </row>
    <row r="320" spans="4:24" ht="12.75" customHeight="1" x14ac:dyDescent="0.25">
      <c r="D320" s="138"/>
      <c r="E320" s="138"/>
      <c r="L320" s="138"/>
      <c r="O320" s="138"/>
      <c r="R320" s="138"/>
      <c r="U320" s="138"/>
      <c r="X320" s="138"/>
    </row>
    <row r="321" spans="4:24" ht="12.75" customHeight="1" x14ac:dyDescent="0.25">
      <c r="D321" s="138"/>
      <c r="E321" s="138"/>
      <c r="L321" s="138"/>
      <c r="O321" s="138"/>
      <c r="R321" s="138"/>
      <c r="U321" s="138"/>
      <c r="X321" s="138"/>
    </row>
    <row r="322" spans="4:24" ht="12.75" customHeight="1" x14ac:dyDescent="0.25">
      <c r="D322" s="138"/>
      <c r="E322" s="138"/>
      <c r="L322" s="138"/>
      <c r="O322" s="138"/>
      <c r="R322" s="138"/>
      <c r="U322" s="138"/>
      <c r="X322" s="138"/>
    </row>
    <row r="323" spans="4:24" ht="12.75" customHeight="1" x14ac:dyDescent="0.25">
      <c r="D323" s="138"/>
      <c r="E323" s="138"/>
      <c r="L323" s="138"/>
      <c r="O323" s="138"/>
      <c r="R323" s="138"/>
      <c r="U323" s="138"/>
      <c r="X323" s="138"/>
    </row>
    <row r="324" spans="4:24" ht="12.75" customHeight="1" x14ac:dyDescent="0.25">
      <c r="D324" s="138"/>
      <c r="E324" s="138"/>
      <c r="L324" s="138"/>
      <c r="O324" s="138"/>
      <c r="R324" s="138"/>
      <c r="U324" s="138"/>
      <c r="X324" s="138"/>
    </row>
    <row r="325" spans="4:24" ht="12.75" customHeight="1" x14ac:dyDescent="0.25">
      <c r="D325" s="138"/>
      <c r="E325" s="138"/>
      <c r="L325" s="138"/>
      <c r="O325" s="138"/>
      <c r="R325" s="138"/>
      <c r="U325" s="138"/>
      <c r="X325" s="138"/>
    </row>
    <row r="326" spans="4:24" ht="12.75" customHeight="1" x14ac:dyDescent="0.25">
      <c r="D326" s="138"/>
      <c r="E326" s="138"/>
      <c r="L326" s="138"/>
      <c r="O326" s="138"/>
      <c r="R326" s="138"/>
      <c r="U326" s="138"/>
      <c r="X326" s="138"/>
    </row>
    <row r="327" spans="4:24" ht="12.75" customHeight="1" x14ac:dyDescent="0.25">
      <c r="D327" s="138"/>
      <c r="E327" s="138"/>
      <c r="L327" s="138"/>
      <c r="O327" s="138"/>
      <c r="R327" s="138"/>
      <c r="U327" s="138"/>
      <c r="X327" s="138"/>
    </row>
    <row r="328" spans="4:24" ht="12.75" customHeight="1" x14ac:dyDescent="0.25">
      <c r="D328" s="138"/>
      <c r="E328" s="138"/>
      <c r="L328" s="138"/>
      <c r="O328" s="138"/>
      <c r="R328" s="138"/>
      <c r="U328" s="138"/>
      <c r="X328" s="138"/>
    </row>
    <row r="329" spans="4:24" ht="12.75" customHeight="1" x14ac:dyDescent="0.25">
      <c r="D329" s="138"/>
      <c r="E329" s="138"/>
      <c r="L329" s="138"/>
      <c r="O329" s="138"/>
      <c r="R329" s="138"/>
      <c r="U329" s="138"/>
      <c r="X329" s="138"/>
    </row>
    <row r="330" spans="4:24" ht="12.75" customHeight="1" x14ac:dyDescent="0.25">
      <c r="D330" s="138"/>
      <c r="E330" s="138"/>
      <c r="L330" s="138"/>
      <c r="O330" s="138"/>
      <c r="R330" s="138"/>
      <c r="U330" s="138"/>
      <c r="X330" s="138"/>
    </row>
    <row r="331" spans="4:24" ht="12.75" customHeight="1" x14ac:dyDescent="0.25">
      <c r="D331" s="138"/>
      <c r="E331" s="138"/>
      <c r="L331" s="138"/>
      <c r="O331" s="138"/>
      <c r="R331" s="138"/>
      <c r="U331" s="138"/>
      <c r="X331" s="138"/>
    </row>
    <row r="332" spans="4:24" ht="12.75" customHeight="1" x14ac:dyDescent="0.25">
      <c r="D332" s="138"/>
      <c r="E332" s="138"/>
      <c r="L332" s="138"/>
      <c r="O332" s="138"/>
      <c r="R332" s="138"/>
      <c r="U332" s="138"/>
      <c r="X332" s="138"/>
    </row>
    <row r="333" spans="4:24" ht="12.75" customHeight="1" x14ac:dyDescent="0.25">
      <c r="D333" s="138"/>
      <c r="E333" s="138"/>
      <c r="L333" s="138"/>
      <c r="O333" s="138"/>
      <c r="R333" s="138"/>
      <c r="U333" s="138"/>
      <c r="X333" s="138"/>
    </row>
    <row r="334" spans="4:24" ht="12.75" customHeight="1" x14ac:dyDescent="0.25">
      <c r="D334" s="138"/>
      <c r="E334" s="138"/>
      <c r="L334" s="138"/>
      <c r="O334" s="138"/>
      <c r="R334" s="138"/>
      <c r="U334" s="138"/>
      <c r="X334" s="138"/>
    </row>
    <row r="335" spans="4:24" ht="12.75" customHeight="1" x14ac:dyDescent="0.25">
      <c r="D335" s="138"/>
      <c r="E335" s="138"/>
      <c r="L335" s="138"/>
      <c r="O335" s="138"/>
      <c r="R335" s="138"/>
      <c r="U335" s="138"/>
      <c r="X335" s="138"/>
    </row>
    <row r="336" spans="4:24" ht="12.75" customHeight="1" x14ac:dyDescent="0.25">
      <c r="D336" s="138"/>
      <c r="E336" s="138"/>
      <c r="L336" s="138"/>
      <c r="O336" s="138"/>
      <c r="R336" s="138"/>
      <c r="U336" s="138"/>
      <c r="X336" s="138"/>
    </row>
    <row r="337" spans="4:24" ht="12.75" customHeight="1" x14ac:dyDescent="0.25">
      <c r="D337" s="138"/>
      <c r="E337" s="138"/>
      <c r="L337" s="138"/>
      <c r="O337" s="138"/>
      <c r="R337" s="138"/>
      <c r="U337" s="138"/>
      <c r="X337" s="138"/>
    </row>
    <row r="338" spans="4:24" ht="12.75" customHeight="1" x14ac:dyDescent="0.25">
      <c r="D338" s="138"/>
      <c r="E338" s="138"/>
      <c r="L338" s="138"/>
      <c r="O338" s="138"/>
      <c r="R338" s="138"/>
      <c r="U338" s="138"/>
      <c r="X338" s="138"/>
    </row>
    <row r="339" spans="4:24" ht="12.75" customHeight="1" x14ac:dyDescent="0.25">
      <c r="D339" s="138"/>
      <c r="E339" s="138"/>
      <c r="L339" s="138"/>
      <c r="O339" s="138"/>
      <c r="R339" s="138"/>
      <c r="U339" s="138"/>
      <c r="X339" s="138"/>
    </row>
    <row r="340" spans="4:24" ht="12.75" customHeight="1" x14ac:dyDescent="0.25">
      <c r="D340" s="138"/>
      <c r="E340" s="138"/>
      <c r="L340" s="138"/>
      <c r="O340" s="138"/>
      <c r="R340" s="138"/>
      <c r="U340" s="138"/>
      <c r="X340" s="138"/>
    </row>
    <row r="341" spans="4:24" ht="12.75" customHeight="1" x14ac:dyDescent="0.25">
      <c r="D341" s="138"/>
      <c r="E341" s="138"/>
      <c r="L341" s="138"/>
      <c r="O341" s="138"/>
      <c r="R341" s="138"/>
      <c r="U341" s="138"/>
      <c r="X341" s="138"/>
    </row>
    <row r="342" spans="4:24" ht="12.75" customHeight="1" x14ac:dyDescent="0.25">
      <c r="D342" s="138"/>
      <c r="E342" s="138"/>
      <c r="L342" s="138"/>
      <c r="O342" s="138"/>
      <c r="R342" s="138"/>
      <c r="U342" s="138"/>
      <c r="X342" s="138"/>
    </row>
    <row r="343" spans="4:24" ht="12.75" customHeight="1" x14ac:dyDescent="0.25">
      <c r="D343" s="138"/>
      <c r="E343" s="138"/>
      <c r="L343" s="138"/>
      <c r="O343" s="138"/>
      <c r="R343" s="138"/>
      <c r="U343" s="138"/>
      <c r="X343" s="138"/>
    </row>
    <row r="344" spans="4:24" ht="12.75" customHeight="1" x14ac:dyDescent="0.25">
      <c r="D344" s="138"/>
      <c r="E344" s="138"/>
      <c r="L344" s="138"/>
      <c r="O344" s="138"/>
      <c r="R344" s="138"/>
      <c r="U344" s="138"/>
      <c r="X344" s="138"/>
    </row>
    <row r="345" spans="4:24" ht="12.75" customHeight="1" x14ac:dyDescent="0.25">
      <c r="D345" s="138"/>
      <c r="E345" s="138"/>
      <c r="L345" s="138"/>
      <c r="O345" s="138"/>
      <c r="R345" s="138"/>
      <c r="U345" s="138"/>
      <c r="X345" s="138"/>
    </row>
    <row r="346" spans="4:24" ht="12.75" customHeight="1" x14ac:dyDescent="0.25">
      <c r="D346" s="138"/>
      <c r="E346" s="138"/>
      <c r="L346" s="138"/>
      <c r="O346" s="138"/>
      <c r="R346" s="138"/>
      <c r="U346" s="138"/>
      <c r="X346" s="138"/>
    </row>
    <row r="347" spans="4:24" ht="12.75" customHeight="1" x14ac:dyDescent="0.25">
      <c r="D347" s="138"/>
      <c r="E347" s="138"/>
      <c r="L347" s="138"/>
      <c r="O347" s="138"/>
      <c r="R347" s="138"/>
      <c r="U347" s="138"/>
      <c r="X347" s="138"/>
    </row>
    <row r="348" spans="4:24" ht="12.75" customHeight="1" x14ac:dyDescent="0.25">
      <c r="D348" s="138"/>
      <c r="E348" s="138"/>
      <c r="L348" s="138"/>
      <c r="O348" s="138"/>
      <c r="R348" s="138"/>
      <c r="U348" s="138"/>
      <c r="X348" s="138"/>
    </row>
    <row r="349" spans="4:24" ht="12.75" customHeight="1" x14ac:dyDescent="0.25">
      <c r="D349" s="138"/>
      <c r="E349" s="138"/>
      <c r="L349" s="138"/>
      <c r="O349" s="138"/>
      <c r="R349" s="138"/>
      <c r="U349" s="138"/>
      <c r="X349" s="138"/>
    </row>
    <row r="350" spans="4:24" ht="12.75" customHeight="1" x14ac:dyDescent="0.25">
      <c r="D350" s="138"/>
      <c r="E350" s="138"/>
      <c r="L350" s="138"/>
      <c r="O350" s="138"/>
      <c r="R350" s="138"/>
      <c r="U350" s="138"/>
      <c r="X350" s="138"/>
    </row>
    <row r="351" spans="4:24" ht="12.75" customHeight="1" x14ac:dyDescent="0.25">
      <c r="D351" s="138"/>
      <c r="E351" s="138"/>
      <c r="L351" s="138"/>
      <c r="O351" s="138"/>
      <c r="R351" s="138"/>
      <c r="U351" s="138"/>
      <c r="X351" s="138"/>
    </row>
    <row r="352" spans="4:24" ht="12.75" customHeight="1" x14ac:dyDescent="0.25">
      <c r="D352" s="138"/>
      <c r="E352" s="138"/>
      <c r="L352" s="138"/>
      <c r="O352" s="138"/>
      <c r="R352" s="138"/>
      <c r="U352" s="138"/>
      <c r="X352" s="138"/>
    </row>
    <row r="353" spans="4:24" ht="12.75" customHeight="1" x14ac:dyDescent="0.25">
      <c r="D353" s="138"/>
      <c r="E353" s="138"/>
      <c r="L353" s="138"/>
      <c r="O353" s="138"/>
      <c r="R353" s="138"/>
      <c r="U353" s="138"/>
      <c r="X353" s="138"/>
    </row>
    <row r="354" spans="4:24" ht="12.75" customHeight="1" x14ac:dyDescent="0.25">
      <c r="D354" s="138"/>
      <c r="E354" s="138"/>
      <c r="L354" s="138"/>
      <c r="O354" s="138"/>
      <c r="R354" s="138"/>
      <c r="U354" s="138"/>
      <c r="X354" s="138"/>
    </row>
    <row r="355" spans="4:24" ht="12.75" customHeight="1" x14ac:dyDescent="0.25">
      <c r="D355" s="138"/>
      <c r="E355" s="138"/>
      <c r="L355" s="138"/>
      <c r="O355" s="138"/>
      <c r="R355" s="138"/>
      <c r="U355" s="138"/>
      <c r="X355" s="138"/>
    </row>
    <row r="356" spans="4:24" ht="12.75" customHeight="1" x14ac:dyDescent="0.25">
      <c r="D356" s="138"/>
      <c r="E356" s="138"/>
      <c r="L356" s="138"/>
      <c r="O356" s="138"/>
      <c r="R356" s="138"/>
      <c r="U356" s="138"/>
      <c r="X356" s="138"/>
    </row>
    <row r="357" spans="4:24" ht="12.75" customHeight="1" x14ac:dyDescent="0.25">
      <c r="D357" s="138"/>
      <c r="E357" s="138"/>
      <c r="L357" s="138"/>
      <c r="O357" s="138"/>
      <c r="R357" s="138"/>
      <c r="U357" s="138"/>
      <c r="X357" s="138"/>
    </row>
    <row r="358" spans="4:24" ht="12.75" customHeight="1" x14ac:dyDescent="0.25">
      <c r="D358" s="138"/>
      <c r="E358" s="138"/>
      <c r="L358" s="138"/>
      <c r="O358" s="138"/>
      <c r="R358" s="138"/>
      <c r="U358" s="138"/>
      <c r="X358" s="138"/>
    </row>
    <row r="359" spans="4:24" ht="12.75" customHeight="1" x14ac:dyDescent="0.25">
      <c r="D359" s="138"/>
      <c r="E359" s="138"/>
      <c r="L359" s="138"/>
      <c r="O359" s="138"/>
      <c r="R359" s="138"/>
      <c r="U359" s="138"/>
      <c r="X359" s="138"/>
    </row>
    <row r="360" spans="4:24" ht="12.75" customHeight="1" x14ac:dyDescent="0.25">
      <c r="D360" s="138"/>
      <c r="E360" s="138"/>
      <c r="L360" s="138"/>
      <c r="O360" s="138"/>
      <c r="R360" s="138"/>
      <c r="U360" s="138"/>
      <c r="X360" s="138"/>
    </row>
    <row r="361" spans="4:24" ht="12.75" customHeight="1" x14ac:dyDescent="0.25">
      <c r="D361" s="138"/>
      <c r="E361" s="138"/>
      <c r="L361" s="138"/>
      <c r="O361" s="138"/>
      <c r="R361" s="138"/>
      <c r="U361" s="138"/>
      <c r="X361" s="138"/>
    </row>
    <row r="362" spans="4:24" ht="12.75" customHeight="1" x14ac:dyDescent="0.25">
      <c r="D362" s="138"/>
      <c r="E362" s="138"/>
      <c r="L362" s="138"/>
      <c r="O362" s="138"/>
      <c r="R362" s="138"/>
      <c r="U362" s="138"/>
      <c r="X362" s="138"/>
    </row>
    <row r="363" spans="4:24" ht="12.75" customHeight="1" x14ac:dyDescent="0.25">
      <c r="D363" s="138"/>
      <c r="E363" s="138"/>
      <c r="L363" s="138"/>
      <c r="O363" s="138"/>
      <c r="R363" s="138"/>
      <c r="U363" s="138"/>
      <c r="X363" s="138"/>
    </row>
    <row r="364" spans="4:24" ht="12.75" customHeight="1" x14ac:dyDescent="0.25">
      <c r="D364" s="138"/>
      <c r="E364" s="138"/>
      <c r="L364" s="138"/>
      <c r="O364" s="138"/>
      <c r="R364" s="138"/>
      <c r="U364" s="138"/>
      <c r="X364" s="138"/>
    </row>
    <row r="365" spans="4:24" ht="12.75" customHeight="1" x14ac:dyDescent="0.25">
      <c r="D365" s="138"/>
      <c r="E365" s="138"/>
      <c r="L365" s="138"/>
      <c r="O365" s="138"/>
      <c r="R365" s="138"/>
      <c r="U365" s="138"/>
      <c r="X365" s="138"/>
    </row>
    <row r="366" spans="4:24" ht="12.75" customHeight="1" x14ac:dyDescent="0.25">
      <c r="D366" s="138"/>
      <c r="E366" s="138"/>
      <c r="L366" s="138"/>
      <c r="O366" s="138"/>
      <c r="R366" s="138"/>
      <c r="U366" s="138"/>
      <c r="X366" s="138"/>
    </row>
    <row r="367" spans="4:24" ht="12.75" customHeight="1" x14ac:dyDescent="0.25">
      <c r="D367" s="138"/>
      <c r="E367" s="138"/>
      <c r="L367" s="138"/>
      <c r="O367" s="138"/>
      <c r="R367" s="138"/>
      <c r="U367" s="138"/>
      <c r="X367" s="138"/>
    </row>
    <row r="368" spans="4:24" ht="12.75" customHeight="1" x14ac:dyDescent="0.25">
      <c r="D368" s="138"/>
      <c r="E368" s="138"/>
      <c r="L368" s="138"/>
      <c r="O368" s="138"/>
      <c r="R368" s="138"/>
      <c r="U368" s="138"/>
      <c r="X368" s="138"/>
    </row>
    <row r="369" spans="4:24" ht="12.75" customHeight="1" x14ac:dyDescent="0.25">
      <c r="D369" s="138"/>
      <c r="E369" s="138"/>
      <c r="L369" s="138"/>
      <c r="O369" s="138"/>
      <c r="R369" s="138"/>
      <c r="U369" s="138"/>
      <c r="X369" s="138"/>
    </row>
    <row r="370" spans="4:24" ht="12.75" customHeight="1" x14ac:dyDescent="0.25">
      <c r="D370" s="138"/>
      <c r="E370" s="138"/>
      <c r="L370" s="138"/>
      <c r="O370" s="138"/>
      <c r="R370" s="138"/>
      <c r="U370" s="138"/>
      <c r="X370" s="138"/>
    </row>
    <row r="371" spans="4:24" ht="12.75" customHeight="1" x14ac:dyDescent="0.25">
      <c r="D371" s="138"/>
      <c r="E371" s="138"/>
      <c r="L371" s="138"/>
      <c r="O371" s="138"/>
      <c r="R371" s="138"/>
      <c r="U371" s="138"/>
      <c r="X371" s="138"/>
    </row>
    <row r="372" spans="4:24" ht="12.75" customHeight="1" x14ac:dyDescent="0.25">
      <c r="D372" s="138"/>
      <c r="E372" s="138"/>
      <c r="L372" s="138"/>
      <c r="O372" s="138"/>
      <c r="R372" s="138"/>
      <c r="U372" s="138"/>
      <c r="X372" s="138"/>
    </row>
    <row r="373" spans="4:24" ht="12.75" customHeight="1" x14ac:dyDescent="0.25">
      <c r="D373" s="138"/>
      <c r="E373" s="138"/>
      <c r="L373" s="138"/>
      <c r="O373" s="138"/>
      <c r="R373" s="138"/>
      <c r="U373" s="138"/>
      <c r="X373" s="138"/>
    </row>
    <row r="374" spans="4:24" ht="12.75" customHeight="1" x14ac:dyDescent="0.25">
      <c r="D374" s="138"/>
      <c r="E374" s="138"/>
      <c r="L374" s="138"/>
      <c r="O374" s="138"/>
      <c r="R374" s="138"/>
      <c r="U374" s="138"/>
      <c r="X374" s="138"/>
    </row>
    <row r="375" spans="4:24" ht="12.75" customHeight="1" x14ac:dyDescent="0.25">
      <c r="D375" s="138"/>
      <c r="E375" s="138"/>
      <c r="L375" s="138"/>
      <c r="O375" s="138"/>
      <c r="R375" s="138"/>
      <c r="U375" s="138"/>
      <c r="X375" s="138"/>
    </row>
    <row r="376" spans="4:24" ht="12.75" customHeight="1" x14ac:dyDescent="0.25">
      <c r="D376" s="138"/>
      <c r="E376" s="138"/>
      <c r="L376" s="138"/>
      <c r="O376" s="138"/>
      <c r="R376" s="138"/>
      <c r="U376" s="138"/>
      <c r="X376" s="138"/>
    </row>
    <row r="377" spans="4:24" ht="12.75" customHeight="1" x14ac:dyDescent="0.25">
      <c r="D377" s="138"/>
      <c r="E377" s="138"/>
      <c r="L377" s="138"/>
      <c r="O377" s="138"/>
      <c r="R377" s="138"/>
      <c r="U377" s="138"/>
      <c r="X377" s="138"/>
    </row>
    <row r="378" spans="4:24" ht="12.75" customHeight="1" x14ac:dyDescent="0.25">
      <c r="D378" s="138"/>
      <c r="E378" s="138"/>
      <c r="L378" s="138"/>
      <c r="O378" s="138"/>
      <c r="R378" s="138"/>
      <c r="U378" s="138"/>
      <c r="X378" s="138"/>
    </row>
    <row r="379" spans="4:24" ht="12.75" customHeight="1" x14ac:dyDescent="0.25">
      <c r="D379" s="138"/>
      <c r="E379" s="138"/>
      <c r="L379" s="138"/>
      <c r="O379" s="138"/>
      <c r="R379" s="138"/>
      <c r="U379" s="138"/>
      <c r="X379" s="138"/>
    </row>
    <row r="380" spans="4:24" ht="12.75" customHeight="1" x14ac:dyDescent="0.25">
      <c r="D380" s="138"/>
      <c r="E380" s="138"/>
      <c r="L380" s="138"/>
      <c r="O380" s="138"/>
      <c r="R380" s="138"/>
      <c r="U380" s="138"/>
      <c r="X380" s="138"/>
    </row>
    <row r="381" spans="4:24" ht="12.75" customHeight="1" x14ac:dyDescent="0.25">
      <c r="D381" s="138"/>
      <c r="E381" s="138"/>
      <c r="L381" s="138"/>
      <c r="O381" s="138"/>
      <c r="R381" s="138"/>
      <c r="U381" s="138"/>
      <c r="X381" s="138"/>
    </row>
    <row r="382" spans="4:24" ht="12.75" customHeight="1" x14ac:dyDescent="0.25">
      <c r="D382" s="138"/>
      <c r="E382" s="138"/>
      <c r="L382" s="138"/>
      <c r="O382" s="138"/>
      <c r="R382" s="138"/>
      <c r="U382" s="138"/>
      <c r="X382" s="138"/>
    </row>
    <row r="383" spans="4:24" ht="12.75" customHeight="1" x14ac:dyDescent="0.25">
      <c r="D383" s="138"/>
      <c r="E383" s="138"/>
      <c r="L383" s="138"/>
      <c r="O383" s="138"/>
      <c r="R383" s="138"/>
      <c r="U383" s="138"/>
      <c r="X383" s="138"/>
    </row>
    <row r="384" spans="4:24" ht="12.75" customHeight="1" x14ac:dyDescent="0.25">
      <c r="D384" s="138"/>
      <c r="E384" s="138"/>
      <c r="L384" s="138"/>
      <c r="O384" s="138"/>
      <c r="R384" s="138"/>
      <c r="U384" s="138"/>
      <c r="X384" s="138"/>
    </row>
    <row r="385" spans="4:24" ht="12.75" customHeight="1" x14ac:dyDescent="0.25">
      <c r="D385" s="138"/>
      <c r="E385" s="138"/>
      <c r="L385" s="138"/>
      <c r="O385" s="138"/>
      <c r="R385" s="138"/>
      <c r="U385" s="138"/>
      <c r="X385" s="138"/>
    </row>
    <row r="386" spans="4:24" ht="12.75" customHeight="1" x14ac:dyDescent="0.25">
      <c r="D386" s="138"/>
      <c r="E386" s="138"/>
      <c r="L386" s="138"/>
      <c r="O386" s="138"/>
      <c r="R386" s="138"/>
      <c r="U386" s="138"/>
      <c r="X386" s="138"/>
    </row>
    <row r="387" spans="4:24" ht="12.75" customHeight="1" x14ac:dyDescent="0.25">
      <c r="D387" s="138"/>
      <c r="E387" s="138"/>
      <c r="L387" s="138"/>
      <c r="O387" s="138"/>
      <c r="R387" s="138"/>
      <c r="U387" s="138"/>
      <c r="X387" s="138"/>
    </row>
    <row r="388" spans="4:24" ht="12.75" customHeight="1" x14ac:dyDescent="0.25">
      <c r="D388" s="138"/>
      <c r="E388" s="138"/>
      <c r="L388" s="138"/>
      <c r="O388" s="138"/>
      <c r="R388" s="138"/>
      <c r="U388" s="138"/>
      <c r="X388" s="138"/>
    </row>
    <row r="389" spans="4:24" ht="12.75" customHeight="1" x14ac:dyDescent="0.25">
      <c r="D389" s="138"/>
      <c r="E389" s="138"/>
      <c r="L389" s="138"/>
      <c r="O389" s="138"/>
      <c r="R389" s="138"/>
      <c r="U389" s="138"/>
      <c r="X389" s="138"/>
    </row>
    <row r="390" spans="4:24" ht="12.75" customHeight="1" x14ac:dyDescent="0.25">
      <c r="D390" s="138"/>
      <c r="E390" s="138"/>
      <c r="L390" s="138"/>
      <c r="O390" s="138"/>
      <c r="R390" s="138"/>
      <c r="U390" s="138"/>
      <c r="X390" s="138"/>
    </row>
    <row r="391" spans="4:24" ht="12.75" customHeight="1" x14ac:dyDescent="0.25">
      <c r="D391" s="138"/>
      <c r="E391" s="138"/>
      <c r="L391" s="138"/>
      <c r="O391" s="138"/>
      <c r="R391" s="138"/>
      <c r="U391" s="138"/>
      <c r="X391" s="138"/>
    </row>
    <row r="392" spans="4:24" ht="12.75" customHeight="1" x14ac:dyDescent="0.25">
      <c r="D392" s="138"/>
      <c r="E392" s="138"/>
      <c r="L392" s="138"/>
      <c r="O392" s="138"/>
      <c r="R392" s="138"/>
      <c r="U392" s="138"/>
      <c r="X392" s="138"/>
    </row>
    <row r="393" spans="4:24" ht="12.75" customHeight="1" x14ac:dyDescent="0.25">
      <c r="D393" s="138"/>
      <c r="E393" s="138"/>
      <c r="L393" s="138"/>
      <c r="O393" s="138"/>
      <c r="R393" s="138"/>
      <c r="U393" s="138"/>
      <c r="X393" s="138"/>
    </row>
    <row r="394" spans="4:24" ht="12.75" customHeight="1" x14ac:dyDescent="0.25">
      <c r="D394" s="138"/>
      <c r="E394" s="138"/>
      <c r="L394" s="138"/>
      <c r="O394" s="138"/>
      <c r="R394" s="138"/>
      <c r="U394" s="138"/>
      <c r="X394" s="138"/>
    </row>
    <row r="395" spans="4:24" ht="12.75" customHeight="1" x14ac:dyDescent="0.25">
      <c r="D395" s="138"/>
      <c r="E395" s="138"/>
      <c r="L395" s="138"/>
      <c r="O395" s="138"/>
      <c r="R395" s="138"/>
      <c r="U395" s="138"/>
      <c r="X395" s="138"/>
    </row>
    <row r="396" spans="4:24" ht="12.75" customHeight="1" x14ac:dyDescent="0.25">
      <c r="D396" s="138"/>
      <c r="E396" s="138"/>
      <c r="L396" s="138"/>
      <c r="O396" s="138"/>
      <c r="R396" s="138"/>
      <c r="U396" s="138"/>
      <c r="X396" s="138"/>
    </row>
    <row r="397" spans="4:24" ht="12.75" customHeight="1" x14ac:dyDescent="0.25">
      <c r="D397" s="138"/>
      <c r="E397" s="138"/>
      <c r="L397" s="138"/>
      <c r="O397" s="138"/>
      <c r="R397" s="138"/>
      <c r="U397" s="138"/>
      <c r="X397" s="138"/>
    </row>
    <row r="398" spans="4:24" ht="12.75" customHeight="1" x14ac:dyDescent="0.25">
      <c r="D398" s="138"/>
      <c r="E398" s="138"/>
      <c r="L398" s="138"/>
      <c r="O398" s="138"/>
      <c r="R398" s="138"/>
      <c r="U398" s="138"/>
      <c r="X398" s="138"/>
    </row>
    <row r="399" spans="4:24" ht="12.75" customHeight="1" x14ac:dyDescent="0.25">
      <c r="D399" s="138"/>
      <c r="E399" s="138"/>
      <c r="L399" s="138"/>
      <c r="O399" s="138"/>
      <c r="R399" s="138"/>
      <c r="U399" s="138"/>
      <c r="X399" s="138"/>
    </row>
    <row r="400" spans="4:24" ht="12.75" customHeight="1" x14ac:dyDescent="0.25">
      <c r="D400" s="138"/>
      <c r="E400" s="138"/>
      <c r="L400" s="138"/>
      <c r="O400" s="138"/>
      <c r="R400" s="138"/>
      <c r="U400" s="138"/>
      <c r="X400" s="138"/>
    </row>
    <row r="401" spans="4:24" ht="12.75" customHeight="1" x14ac:dyDescent="0.25">
      <c r="D401" s="138"/>
      <c r="E401" s="138"/>
      <c r="L401" s="138"/>
      <c r="O401" s="138"/>
      <c r="R401" s="138"/>
      <c r="U401" s="138"/>
      <c r="X401" s="138"/>
    </row>
    <row r="402" spans="4:24" ht="12.75" customHeight="1" x14ac:dyDescent="0.25">
      <c r="D402" s="138"/>
      <c r="E402" s="138"/>
      <c r="L402" s="138"/>
      <c r="O402" s="138"/>
      <c r="R402" s="138"/>
      <c r="U402" s="138"/>
      <c r="X402" s="138"/>
    </row>
    <row r="403" spans="4:24" ht="12.75" customHeight="1" x14ac:dyDescent="0.25">
      <c r="D403" s="138"/>
      <c r="E403" s="138"/>
      <c r="L403" s="138"/>
      <c r="O403" s="138"/>
      <c r="R403" s="138"/>
      <c r="U403" s="138"/>
      <c r="X403" s="138"/>
    </row>
    <row r="404" spans="4:24" ht="12.75" customHeight="1" x14ac:dyDescent="0.25">
      <c r="D404" s="138"/>
      <c r="E404" s="138"/>
      <c r="L404" s="138"/>
      <c r="O404" s="138"/>
      <c r="R404" s="138"/>
      <c r="U404" s="138"/>
      <c r="X404" s="138"/>
    </row>
    <row r="405" spans="4:24" ht="12.75" customHeight="1" x14ac:dyDescent="0.25">
      <c r="D405" s="138"/>
      <c r="E405" s="138"/>
      <c r="L405" s="138"/>
      <c r="O405" s="138"/>
      <c r="R405" s="138"/>
      <c r="U405" s="138"/>
      <c r="X405" s="138"/>
    </row>
    <row r="406" spans="4:24" ht="12.75" customHeight="1" x14ac:dyDescent="0.25">
      <c r="D406" s="138"/>
      <c r="E406" s="138"/>
      <c r="L406" s="138"/>
      <c r="O406" s="138"/>
      <c r="R406" s="138"/>
      <c r="U406" s="138"/>
      <c r="X406" s="138"/>
    </row>
    <row r="407" spans="4:24" ht="12.75" customHeight="1" x14ac:dyDescent="0.25">
      <c r="D407" s="138"/>
      <c r="E407" s="138"/>
      <c r="L407" s="138"/>
      <c r="O407" s="138"/>
      <c r="R407" s="138"/>
      <c r="U407" s="138"/>
      <c r="X407" s="138"/>
    </row>
    <row r="408" spans="4:24" ht="12.75" customHeight="1" x14ac:dyDescent="0.25">
      <c r="D408" s="138"/>
      <c r="E408" s="138"/>
      <c r="L408" s="138"/>
      <c r="O408" s="138"/>
      <c r="R408" s="138"/>
      <c r="U408" s="138"/>
      <c r="X408" s="138"/>
    </row>
    <row r="409" spans="4:24" ht="12.75" customHeight="1" x14ac:dyDescent="0.25">
      <c r="D409" s="138"/>
      <c r="E409" s="138"/>
      <c r="L409" s="138"/>
      <c r="O409" s="138"/>
      <c r="R409" s="138"/>
      <c r="U409" s="138"/>
      <c r="X409" s="138"/>
    </row>
    <row r="410" spans="4:24" ht="12.75" customHeight="1" x14ac:dyDescent="0.25">
      <c r="D410" s="138"/>
      <c r="E410" s="138"/>
      <c r="L410" s="138"/>
      <c r="O410" s="138"/>
      <c r="R410" s="138"/>
      <c r="U410" s="138"/>
      <c r="X410" s="138"/>
    </row>
    <row r="411" spans="4:24" ht="12.75" customHeight="1" x14ac:dyDescent="0.25">
      <c r="D411" s="138"/>
      <c r="E411" s="138"/>
      <c r="L411" s="138"/>
      <c r="O411" s="138"/>
      <c r="R411" s="138"/>
      <c r="U411" s="138"/>
      <c r="X411" s="138"/>
    </row>
    <row r="412" spans="4:24" ht="12.75" customHeight="1" x14ac:dyDescent="0.25">
      <c r="D412" s="138"/>
      <c r="E412" s="138"/>
      <c r="L412" s="138"/>
      <c r="O412" s="138"/>
      <c r="R412" s="138"/>
      <c r="U412" s="138"/>
      <c r="X412" s="138"/>
    </row>
    <row r="413" spans="4:24" ht="12.75" customHeight="1" x14ac:dyDescent="0.25">
      <c r="D413" s="138"/>
      <c r="E413" s="138"/>
      <c r="L413" s="138"/>
      <c r="O413" s="138"/>
      <c r="R413" s="138"/>
      <c r="U413" s="138"/>
      <c r="X413" s="138"/>
    </row>
    <row r="414" spans="4:24" ht="12.75" customHeight="1" x14ac:dyDescent="0.25">
      <c r="D414" s="138"/>
      <c r="E414" s="138"/>
      <c r="L414" s="138"/>
      <c r="O414" s="138"/>
      <c r="R414" s="138"/>
      <c r="U414" s="138"/>
      <c r="X414" s="138"/>
    </row>
    <row r="415" spans="4:24" ht="12.75" customHeight="1" x14ac:dyDescent="0.25">
      <c r="D415" s="138"/>
      <c r="E415" s="138"/>
      <c r="L415" s="138"/>
      <c r="O415" s="138"/>
      <c r="R415" s="138"/>
      <c r="U415" s="138"/>
      <c r="X415" s="138"/>
    </row>
    <row r="416" spans="4:24" ht="12.75" customHeight="1" x14ac:dyDescent="0.25">
      <c r="D416" s="138"/>
      <c r="E416" s="138"/>
      <c r="L416" s="138"/>
      <c r="O416" s="138"/>
      <c r="R416" s="138"/>
      <c r="U416" s="138"/>
      <c r="X416" s="138"/>
    </row>
    <row r="417" spans="4:24" ht="12.75" customHeight="1" x14ac:dyDescent="0.25">
      <c r="D417" s="138"/>
      <c r="E417" s="138"/>
      <c r="L417" s="138"/>
      <c r="O417" s="138"/>
      <c r="R417" s="138"/>
      <c r="U417" s="138"/>
      <c r="X417" s="138"/>
    </row>
    <row r="418" spans="4:24" ht="12.75" customHeight="1" x14ac:dyDescent="0.25">
      <c r="D418" s="138"/>
      <c r="E418" s="138"/>
      <c r="L418" s="138"/>
      <c r="O418" s="138"/>
      <c r="R418" s="138"/>
      <c r="U418" s="138"/>
      <c r="X418" s="138"/>
    </row>
    <row r="419" spans="4:24" ht="12.75" customHeight="1" x14ac:dyDescent="0.25">
      <c r="D419" s="138"/>
      <c r="E419" s="138"/>
      <c r="L419" s="138"/>
      <c r="O419" s="138"/>
      <c r="R419" s="138"/>
      <c r="U419" s="138"/>
      <c r="X419" s="138"/>
    </row>
    <row r="420" spans="4:24" ht="12.75" customHeight="1" x14ac:dyDescent="0.25">
      <c r="D420" s="138"/>
      <c r="E420" s="138"/>
      <c r="L420" s="138"/>
      <c r="O420" s="138"/>
      <c r="R420" s="138"/>
      <c r="U420" s="138"/>
      <c r="X420" s="138"/>
    </row>
    <row r="421" spans="4:24" ht="12.75" customHeight="1" x14ac:dyDescent="0.25">
      <c r="D421" s="138"/>
      <c r="E421" s="138"/>
      <c r="L421" s="138"/>
      <c r="O421" s="138"/>
      <c r="R421" s="138"/>
      <c r="U421" s="138"/>
      <c r="X421" s="138"/>
    </row>
    <row r="422" spans="4:24" ht="12.75" customHeight="1" x14ac:dyDescent="0.25">
      <c r="D422" s="138"/>
      <c r="E422" s="138"/>
      <c r="L422" s="138"/>
      <c r="O422" s="138"/>
      <c r="R422" s="138"/>
      <c r="U422" s="138"/>
      <c r="X422" s="138"/>
    </row>
    <row r="423" spans="4:24" ht="12.75" customHeight="1" x14ac:dyDescent="0.25">
      <c r="D423" s="138"/>
      <c r="E423" s="138"/>
      <c r="L423" s="138"/>
      <c r="O423" s="138"/>
      <c r="R423" s="138"/>
      <c r="U423" s="138"/>
      <c r="X423" s="138"/>
    </row>
    <row r="424" spans="4:24" ht="12.75" customHeight="1" x14ac:dyDescent="0.25">
      <c r="D424" s="138"/>
      <c r="E424" s="138"/>
      <c r="L424" s="138"/>
      <c r="O424" s="138"/>
      <c r="R424" s="138"/>
      <c r="U424" s="138"/>
      <c r="X424" s="138"/>
    </row>
    <row r="425" spans="4:24" ht="12.75" customHeight="1" x14ac:dyDescent="0.25">
      <c r="D425" s="138"/>
      <c r="E425" s="138"/>
      <c r="L425" s="138"/>
      <c r="O425" s="138"/>
      <c r="R425" s="138"/>
      <c r="U425" s="138"/>
      <c r="X425" s="138"/>
    </row>
    <row r="426" spans="4:24" ht="12.75" customHeight="1" x14ac:dyDescent="0.25">
      <c r="D426" s="138"/>
      <c r="E426" s="138"/>
      <c r="L426" s="138"/>
      <c r="O426" s="138"/>
      <c r="R426" s="138"/>
      <c r="U426" s="138"/>
      <c r="X426" s="138"/>
    </row>
    <row r="427" spans="4:24" ht="12.75" customHeight="1" x14ac:dyDescent="0.25">
      <c r="D427" s="138"/>
      <c r="E427" s="138"/>
      <c r="L427" s="138"/>
      <c r="O427" s="138"/>
      <c r="R427" s="138"/>
      <c r="U427" s="138"/>
      <c r="X427" s="138"/>
    </row>
    <row r="428" spans="4:24" ht="12.75" customHeight="1" x14ac:dyDescent="0.25">
      <c r="D428" s="138"/>
      <c r="E428" s="138"/>
      <c r="L428" s="138"/>
      <c r="O428" s="138"/>
      <c r="R428" s="138"/>
      <c r="U428" s="138"/>
      <c r="X428" s="138"/>
    </row>
    <row r="429" spans="4:24" ht="12.75" customHeight="1" x14ac:dyDescent="0.25">
      <c r="D429" s="138"/>
      <c r="E429" s="138"/>
      <c r="L429" s="138"/>
      <c r="O429" s="138"/>
      <c r="R429" s="138"/>
      <c r="U429" s="138"/>
      <c r="X429" s="138"/>
    </row>
    <row r="430" spans="4:24" ht="12.75" customHeight="1" x14ac:dyDescent="0.25">
      <c r="D430" s="138"/>
      <c r="E430" s="138"/>
      <c r="L430" s="138"/>
      <c r="O430" s="138"/>
      <c r="R430" s="138"/>
      <c r="U430" s="138"/>
      <c r="X430" s="138"/>
    </row>
    <row r="431" spans="4:24" ht="12.75" customHeight="1" x14ac:dyDescent="0.25">
      <c r="D431" s="138"/>
      <c r="E431" s="138"/>
      <c r="L431" s="138"/>
      <c r="O431" s="138"/>
      <c r="R431" s="138"/>
      <c r="U431" s="138"/>
      <c r="X431" s="138"/>
    </row>
    <row r="432" spans="4:24" ht="12.75" customHeight="1" x14ac:dyDescent="0.25">
      <c r="D432" s="138"/>
      <c r="E432" s="138"/>
      <c r="L432" s="138"/>
      <c r="O432" s="138"/>
      <c r="R432" s="138"/>
      <c r="U432" s="138"/>
      <c r="X432" s="138"/>
    </row>
    <row r="433" spans="4:24" ht="12.75" customHeight="1" x14ac:dyDescent="0.25">
      <c r="D433" s="138"/>
      <c r="E433" s="138"/>
      <c r="L433" s="138"/>
      <c r="O433" s="138"/>
      <c r="R433" s="138"/>
      <c r="U433" s="138"/>
      <c r="X433" s="138"/>
    </row>
    <row r="434" spans="4:24" ht="12.75" customHeight="1" x14ac:dyDescent="0.25">
      <c r="D434" s="138"/>
      <c r="E434" s="138"/>
      <c r="L434" s="138"/>
      <c r="O434" s="138"/>
      <c r="R434" s="138"/>
      <c r="U434" s="138"/>
      <c r="X434" s="138"/>
    </row>
    <row r="435" spans="4:24" ht="12.75" customHeight="1" x14ac:dyDescent="0.25">
      <c r="D435" s="138"/>
      <c r="E435" s="138"/>
      <c r="L435" s="138"/>
      <c r="O435" s="138"/>
      <c r="R435" s="138"/>
      <c r="U435" s="138"/>
      <c r="X435" s="138"/>
    </row>
    <row r="436" spans="4:24" ht="12.75" customHeight="1" x14ac:dyDescent="0.25">
      <c r="D436" s="138"/>
      <c r="E436" s="138"/>
      <c r="L436" s="138"/>
      <c r="O436" s="138"/>
      <c r="R436" s="138"/>
      <c r="U436" s="138"/>
      <c r="X436" s="138"/>
    </row>
    <row r="437" spans="4:24" ht="12.75" customHeight="1" x14ac:dyDescent="0.25">
      <c r="D437" s="138"/>
      <c r="E437" s="138"/>
      <c r="L437" s="138"/>
      <c r="O437" s="138"/>
      <c r="R437" s="138"/>
      <c r="U437" s="138"/>
      <c r="X437" s="138"/>
    </row>
    <row r="438" spans="4:24" ht="12.75" customHeight="1" x14ac:dyDescent="0.25">
      <c r="D438" s="138"/>
      <c r="E438" s="138"/>
      <c r="L438" s="138"/>
      <c r="O438" s="138"/>
      <c r="R438" s="138"/>
      <c r="U438" s="138"/>
      <c r="X438" s="138"/>
    </row>
    <row r="439" spans="4:24" ht="12.75" customHeight="1" x14ac:dyDescent="0.25">
      <c r="D439" s="138"/>
      <c r="E439" s="138"/>
      <c r="L439" s="138"/>
      <c r="O439" s="138"/>
      <c r="R439" s="138"/>
      <c r="U439" s="138"/>
      <c r="X439" s="138"/>
    </row>
    <row r="440" spans="4:24" ht="12.75" customHeight="1" x14ac:dyDescent="0.25">
      <c r="D440" s="138"/>
      <c r="E440" s="138"/>
      <c r="L440" s="138"/>
      <c r="O440" s="138"/>
      <c r="R440" s="138"/>
      <c r="U440" s="138"/>
      <c r="X440" s="138"/>
    </row>
    <row r="441" spans="4:24" ht="12.75" customHeight="1" x14ac:dyDescent="0.25">
      <c r="D441" s="138"/>
      <c r="E441" s="138"/>
      <c r="L441" s="138"/>
      <c r="O441" s="138"/>
      <c r="R441" s="138"/>
      <c r="U441" s="138"/>
      <c r="X441" s="138"/>
    </row>
    <row r="442" spans="4:24" ht="12.75" customHeight="1" x14ac:dyDescent="0.25">
      <c r="D442" s="138"/>
      <c r="E442" s="138"/>
      <c r="L442" s="138"/>
      <c r="O442" s="138"/>
      <c r="R442" s="138"/>
      <c r="U442" s="138"/>
      <c r="X442" s="138"/>
    </row>
    <row r="443" spans="4:24" ht="12.75" customHeight="1" x14ac:dyDescent="0.25">
      <c r="D443" s="138"/>
      <c r="E443" s="138"/>
      <c r="L443" s="138"/>
      <c r="O443" s="138"/>
      <c r="R443" s="138"/>
      <c r="U443" s="138"/>
      <c r="X443" s="138"/>
    </row>
    <row r="444" spans="4:24" ht="12.75" customHeight="1" x14ac:dyDescent="0.25">
      <c r="D444" s="138"/>
      <c r="E444" s="138"/>
      <c r="L444" s="138"/>
      <c r="O444" s="138"/>
      <c r="R444" s="138"/>
      <c r="U444" s="138"/>
      <c r="X444" s="138"/>
    </row>
    <row r="445" spans="4:24" ht="12.75" customHeight="1" x14ac:dyDescent="0.25">
      <c r="D445" s="138"/>
      <c r="E445" s="138"/>
      <c r="L445" s="138"/>
      <c r="O445" s="138"/>
      <c r="R445" s="138"/>
      <c r="U445" s="138"/>
      <c r="X445" s="138"/>
    </row>
    <row r="446" spans="4:24" ht="12.75" customHeight="1" x14ac:dyDescent="0.25">
      <c r="D446" s="138"/>
      <c r="E446" s="138"/>
      <c r="L446" s="138"/>
      <c r="O446" s="138"/>
      <c r="R446" s="138"/>
      <c r="U446" s="138"/>
      <c r="X446" s="138"/>
    </row>
    <row r="447" spans="4:24" ht="12.75" customHeight="1" x14ac:dyDescent="0.25">
      <c r="D447" s="138"/>
      <c r="E447" s="138"/>
      <c r="L447" s="138"/>
      <c r="O447" s="138"/>
      <c r="R447" s="138"/>
      <c r="U447" s="138"/>
      <c r="X447" s="138"/>
    </row>
    <row r="448" spans="4:24" ht="12.75" customHeight="1" x14ac:dyDescent="0.25">
      <c r="D448" s="138"/>
      <c r="E448" s="138"/>
      <c r="L448" s="138"/>
      <c r="O448" s="138"/>
      <c r="R448" s="138"/>
      <c r="U448" s="138"/>
      <c r="X448" s="138"/>
    </row>
    <row r="449" spans="4:24" ht="12.75" customHeight="1" x14ac:dyDescent="0.25">
      <c r="D449" s="138"/>
      <c r="E449" s="138"/>
      <c r="L449" s="138"/>
      <c r="O449" s="138"/>
      <c r="R449" s="138"/>
      <c r="U449" s="138"/>
      <c r="X449" s="138"/>
    </row>
    <row r="450" spans="4:24" ht="12.75" customHeight="1" x14ac:dyDescent="0.25">
      <c r="D450" s="138"/>
      <c r="E450" s="138"/>
      <c r="L450" s="138"/>
      <c r="O450" s="138"/>
      <c r="R450" s="138"/>
      <c r="U450" s="138"/>
      <c r="X450" s="138"/>
    </row>
    <row r="451" spans="4:24" ht="12.75" customHeight="1" x14ac:dyDescent="0.25">
      <c r="D451" s="138"/>
      <c r="E451" s="138"/>
      <c r="L451" s="138"/>
      <c r="O451" s="138"/>
      <c r="R451" s="138"/>
      <c r="U451" s="138"/>
      <c r="X451" s="138"/>
    </row>
    <row r="452" spans="4:24" ht="12.75" customHeight="1" x14ac:dyDescent="0.25">
      <c r="D452" s="138"/>
      <c r="E452" s="138"/>
      <c r="L452" s="138"/>
      <c r="O452" s="138"/>
      <c r="R452" s="138"/>
      <c r="U452" s="138"/>
      <c r="X452" s="138"/>
    </row>
    <row r="453" spans="4:24" ht="12.75" customHeight="1" x14ac:dyDescent="0.25">
      <c r="D453" s="138"/>
      <c r="E453" s="138"/>
      <c r="L453" s="138"/>
      <c r="O453" s="138"/>
      <c r="R453" s="138"/>
      <c r="U453" s="138"/>
      <c r="X453" s="138"/>
    </row>
    <row r="454" spans="4:24" ht="12.75" customHeight="1" x14ac:dyDescent="0.25">
      <c r="D454" s="138"/>
      <c r="E454" s="138"/>
      <c r="L454" s="138"/>
      <c r="O454" s="138"/>
      <c r="R454" s="138"/>
      <c r="U454" s="138"/>
      <c r="X454" s="138"/>
    </row>
    <row r="455" spans="4:24" ht="12.75" customHeight="1" x14ac:dyDescent="0.25">
      <c r="D455" s="138"/>
      <c r="E455" s="138"/>
      <c r="L455" s="138"/>
      <c r="O455" s="138"/>
      <c r="R455" s="138"/>
      <c r="U455" s="138"/>
      <c r="X455" s="138"/>
    </row>
    <row r="456" spans="4:24" ht="12.75" customHeight="1" x14ac:dyDescent="0.25">
      <c r="D456" s="138"/>
      <c r="E456" s="138"/>
      <c r="L456" s="138"/>
      <c r="O456" s="138"/>
      <c r="R456" s="138"/>
      <c r="U456" s="138"/>
      <c r="X456" s="138"/>
    </row>
    <row r="457" spans="4:24" ht="12.75" customHeight="1" x14ac:dyDescent="0.25">
      <c r="D457" s="138"/>
      <c r="E457" s="138"/>
      <c r="L457" s="138"/>
      <c r="O457" s="138"/>
      <c r="R457" s="138"/>
      <c r="U457" s="138"/>
      <c r="X457" s="138"/>
    </row>
    <row r="458" spans="4:24" ht="12.75" customHeight="1" x14ac:dyDescent="0.25">
      <c r="D458" s="138"/>
      <c r="E458" s="138"/>
      <c r="L458" s="138"/>
      <c r="O458" s="138"/>
      <c r="R458" s="138"/>
      <c r="U458" s="138"/>
      <c r="X458" s="138"/>
    </row>
    <row r="459" spans="4:24" ht="12.75" customHeight="1" x14ac:dyDescent="0.25">
      <c r="D459" s="138"/>
      <c r="E459" s="138"/>
      <c r="L459" s="138"/>
      <c r="O459" s="138"/>
      <c r="R459" s="138"/>
      <c r="U459" s="138"/>
      <c r="X459" s="138"/>
    </row>
    <row r="460" spans="4:24" ht="12.75" customHeight="1" x14ac:dyDescent="0.25">
      <c r="D460" s="138"/>
      <c r="E460" s="138"/>
      <c r="L460" s="138"/>
      <c r="O460" s="138"/>
      <c r="R460" s="138"/>
      <c r="U460" s="138"/>
      <c r="X460" s="138"/>
    </row>
    <row r="461" spans="4:24" ht="12.75" customHeight="1" x14ac:dyDescent="0.25">
      <c r="D461" s="138"/>
      <c r="E461" s="138"/>
      <c r="L461" s="138"/>
      <c r="O461" s="138"/>
      <c r="R461" s="138"/>
      <c r="U461" s="138"/>
      <c r="X461" s="138"/>
    </row>
    <row r="462" spans="4:24" ht="12.75" customHeight="1" x14ac:dyDescent="0.25">
      <c r="D462" s="138"/>
      <c r="E462" s="138"/>
      <c r="L462" s="138"/>
      <c r="O462" s="138"/>
      <c r="R462" s="138"/>
      <c r="U462" s="138"/>
      <c r="X462" s="138"/>
    </row>
    <row r="463" spans="4:24" ht="12.75" customHeight="1" x14ac:dyDescent="0.25">
      <c r="D463" s="138"/>
      <c r="E463" s="138"/>
      <c r="L463" s="138"/>
      <c r="O463" s="138"/>
      <c r="R463" s="138"/>
      <c r="U463" s="138"/>
      <c r="X463" s="138"/>
    </row>
    <row r="464" spans="4:24" ht="12.75" customHeight="1" x14ac:dyDescent="0.25">
      <c r="D464" s="138"/>
      <c r="E464" s="138"/>
      <c r="L464" s="138"/>
      <c r="O464" s="138"/>
      <c r="R464" s="138"/>
      <c r="U464" s="138"/>
      <c r="X464" s="138"/>
    </row>
    <row r="465" spans="4:24" ht="12.75" customHeight="1" x14ac:dyDescent="0.25">
      <c r="D465" s="138"/>
      <c r="E465" s="138"/>
      <c r="L465" s="138"/>
      <c r="O465" s="138"/>
      <c r="R465" s="138"/>
      <c r="U465" s="138"/>
      <c r="X465" s="138"/>
    </row>
    <row r="466" spans="4:24" ht="12.75" customHeight="1" x14ac:dyDescent="0.25">
      <c r="D466" s="138"/>
      <c r="E466" s="138"/>
      <c r="L466" s="138"/>
      <c r="O466" s="138"/>
      <c r="R466" s="138"/>
      <c r="U466" s="138"/>
      <c r="X466" s="138"/>
    </row>
    <row r="467" spans="4:24" ht="12.75" customHeight="1" x14ac:dyDescent="0.25">
      <c r="D467" s="138"/>
      <c r="E467" s="138"/>
      <c r="L467" s="138"/>
      <c r="O467" s="138"/>
      <c r="R467" s="138"/>
      <c r="U467" s="138"/>
      <c r="X467" s="138"/>
    </row>
    <row r="468" spans="4:24" ht="12.75" customHeight="1" x14ac:dyDescent="0.25">
      <c r="D468" s="138"/>
      <c r="E468" s="138"/>
      <c r="L468" s="138"/>
      <c r="O468" s="138"/>
      <c r="R468" s="138"/>
      <c r="U468" s="138"/>
      <c r="X468" s="138"/>
    </row>
    <row r="469" spans="4:24" ht="12.75" customHeight="1" x14ac:dyDescent="0.25">
      <c r="D469" s="138"/>
      <c r="E469" s="138"/>
      <c r="L469" s="138"/>
      <c r="O469" s="138"/>
      <c r="R469" s="138"/>
      <c r="U469" s="138"/>
      <c r="X469" s="138"/>
    </row>
    <row r="470" spans="4:24" ht="12.75" customHeight="1" x14ac:dyDescent="0.25">
      <c r="D470" s="138"/>
      <c r="E470" s="138"/>
      <c r="L470" s="138"/>
      <c r="O470" s="138"/>
      <c r="R470" s="138"/>
      <c r="U470" s="138"/>
      <c r="X470" s="138"/>
    </row>
    <row r="471" spans="4:24" ht="12.75" customHeight="1" x14ac:dyDescent="0.25">
      <c r="D471" s="138"/>
      <c r="E471" s="138"/>
      <c r="L471" s="138"/>
      <c r="O471" s="138"/>
      <c r="R471" s="138"/>
      <c r="U471" s="138"/>
      <c r="X471" s="138"/>
    </row>
    <row r="472" spans="4:24" ht="12.75" customHeight="1" x14ac:dyDescent="0.25">
      <c r="D472" s="138"/>
      <c r="E472" s="138"/>
      <c r="L472" s="138"/>
      <c r="O472" s="138"/>
      <c r="R472" s="138"/>
      <c r="U472" s="138"/>
      <c r="X472" s="138"/>
    </row>
    <row r="473" spans="4:24" ht="12.75" customHeight="1" x14ac:dyDescent="0.25">
      <c r="D473" s="138"/>
      <c r="E473" s="138"/>
      <c r="L473" s="138"/>
      <c r="O473" s="138"/>
      <c r="R473" s="138"/>
      <c r="U473" s="138"/>
      <c r="X473" s="138"/>
    </row>
    <row r="474" spans="4:24" ht="12.75" customHeight="1" x14ac:dyDescent="0.25">
      <c r="D474" s="138"/>
      <c r="E474" s="138"/>
      <c r="L474" s="138"/>
      <c r="O474" s="138"/>
      <c r="R474" s="138"/>
      <c r="U474" s="138"/>
      <c r="X474" s="138"/>
    </row>
    <row r="475" spans="4:24" ht="12.75" customHeight="1" x14ac:dyDescent="0.25">
      <c r="D475" s="138"/>
      <c r="E475" s="138"/>
      <c r="L475" s="138"/>
      <c r="O475" s="138"/>
      <c r="R475" s="138"/>
      <c r="U475" s="138"/>
      <c r="X475" s="138"/>
    </row>
    <row r="476" spans="4:24" ht="12.75" customHeight="1" x14ac:dyDescent="0.25">
      <c r="D476" s="138"/>
      <c r="E476" s="138"/>
      <c r="L476" s="138"/>
      <c r="O476" s="138"/>
      <c r="R476" s="138"/>
      <c r="U476" s="138"/>
      <c r="X476" s="138"/>
    </row>
    <row r="477" spans="4:24" ht="12.75" customHeight="1" x14ac:dyDescent="0.25">
      <c r="D477" s="138"/>
      <c r="E477" s="138"/>
      <c r="L477" s="138"/>
      <c r="O477" s="138"/>
      <c r="R477" s="138"/>
      <c r="U477" s="138"/>
      <c r="X477" s="138"/>
    </row>
    <row r="478" spans="4:24" ht="12.75" customHeight="1" x14ac:dyDescent="0.25">
      <c r="D478" s="138"/>
      <c r="E478" s="138"/>
      <c r="L478" s="138"/>
      <c r="O478" s="138"/>
      <c r="R478" s="138"/>
      <c r="U478" s="138"/>
      <c r="X478" s="138"/>
    </row>
    <row r="479" spans="4:24" ht="12.75" customHeight="1" x14ac:dyDescent="0.25">
      <c r="D479" s="138"/>
      <c r="E479" s="138"/>
      <c r="L479" s="138"/>
      <c r="O479" s="138"/>
      <c r="R479" s="138"/>
      <c r="U479" s="138"/>
      <c r="X479" s="138"/>
    </row>
    <row r="480" spans="4:24" ht="12.75" customHeight="1" x14ac:dyDescent="0.25">
      <c r="D480" s="138"/>
      <c r="E480" s="138"/>
      <c r="L480" s="138"/>
      <c r="O480" s="138"/>
      <c r="R480" s="138"/>
      <c r="U480" s="138"/>
      <c r="X480" s="138"/>
    </row>
    <row r="481" spans="4:24" ht="12.75" customHeight="1" x14ac:dyDescent="0.25">
      <c r="D481" s="138"/>
      <c r="E481" s="138"/>
      <c r="L481" s="138"/>
      <c r="O481" s="138"/>
      <c r="R481" s="138"/>
      <c r="U481" s="138"/>
      <c r="X481" s="138"/>
    </row>
    <row r="482" spans="4:24" ht="12.75" customHeight="1" x14ac:dyDescent="0.25">
      <c r="D482" s="138"/>
      <c r="E482" s="138"/>
      <c r="L482" s="138"/>
      <c r="O482" s="138"/>
      <c r="R482" s="138"/>
      <c r="U482" s="138"/>
      <c r="X482" s="138"/>
    </row>
    <row r="483" spans="4:24" ht="12.75" customHeight="1" x14ac:dyDescent="0.25">
      <c r="D483" s="138"/>
      <c r="E483" s="138"/>
      <c r="L483" s="138"/>
      <c r="O483" s="138"/>
      <c r="R483" s="138"/>
      <c r="U483" s="138"/>
      <c r="X483" s="138"/>
    </row>
    <row r="484" spans="4:24" ht="12.75" customHeight="1" x14ac:dyDescent="0.25">
      <c r="D484" s="138"/>
      <c r="E484" s="138"/>
      <c r="L484" s="138"/>
      <c r="O484" s="138"/>
      <c r="R484" s="138"/>
      <c r="U484" s="138"/>
      <c r="X484" s="138"/>
    </row>
    <row r="485" spans="4:24" ht="12.75" customHeight="1" x14ac:dyDescent="0.25">
      <c r="D485" s="138"/>
      <c r="E485" s="138"/>
      <c r="L485" s="138"/>
      <c r="O485" s="138"/>
      <c r="R485" s="138"/>
      <c r="U485" s="138"/>
      <c r="X485" s="138"/>
    </row>
    <row r="486" spans="4:24" ht="12.75" customHeight="1" x14ac:dyDescent="0.25">
      <c r="D486" s="138"/>
      <c r="E486" s="138"/>
      <c r="L486" s="138"/>
      <c r="O486" s="138"/>
      <c r="R486" s="138"/>
      <c r="U486" s="138"/>
      <c r="X486" s="138"/>
    </row>
    <row r="487" spans="4:24" ht="12.75" customHeight="1" x14ac:dyDescent="0.25">
      <c r="D487" s="138"/>
      <c r="E487" s="138"/>
      <c r="L487" s="138"/>
      <c r="O487" s="138"/>
      <c r="R487" s="138"/>
      <c r="U487" s="138"/>
      <c r="X487" s="138"/>
    </row>
    <row r="488" spans="4:24" ht="12.75" customHeight="1" x14ac:dyDescent="0.25">
      <c r="D488" s="138"/>
      <c r="E488" s="138"/>
      <c r="L488" s="138"/>
      <c r="O488" s="138"/>
      <c r="R488" s="138"/>
      <c r="U488" s="138"/>
      <c r="X488" s="138"/>
    </row>
    <row r="489" spans="4:24" ht="12.75" customHeight="1" x14ac:dyDescent="0.25">
      <c r="D489" s="138"/>
      <c r="E489" s="138"/>
      <c r="L489" s="138"/>
      <c r="O489" s="138"/>
      <c r="R489" s="138"/>
      <c r="U489" s="138"/>
      <c r="X489" s="138"/>
    </row>
    <row r="490" spans="4:24" ht="12.75" customHeight="1" x14ac:dyDescent="0.25">
      <c r="D490" s="138"/>
      <c r="E490" s="138"/>
      <c r="L490" s="138"/>
      <c r="O490" s="138"/>
      <c r="R490" s="138"/>
      <c r="U490" s="138"/>
      <c r="X490" s="138"/>
    </row>
    <row r="491" spans="4:24" ht="12.75" customHeight="1" x14ac:dyDescent="0.25">
      <c r="D491" s="138"/>
      <c r="E491" s="138"/>
      <c r="L491" s="138"/>
      <c r="O491" s="138"/>
      <c r="R491" s="138"/>
      <c r="U491" s="138"/>
      <c r="X491" s="138"/>
    </row>
    <row r="492" spans="4:24" ht="12.75" customHeight="1" x14ac:dyDescent="0.25">
      <c r="D492" s="138"/>
      <c r="E492" s="138"/>
      <c r="L492" s="138"/>
      <c r="O492" s="138"/>
      <c r="R492" s="138"/>
      <c r="U492" s="138"/>
      <c r="X492" s="138"/>
    </row>
    <row r="493" spans="4:24" ht="12.75" customHeight="1" x14ac:dyDescent="0.25">
      <c r="D493" s="138"/>
      <c r="E493" s="138"/>
      <c r="L493" s="138"/>
      <c r="O493" s="138"/>
      <c r="R493" s="138"/>
      <c r="U493" s="138"/>
      <c r="X493" s="138"/>
    </row>
    <row r="494" spans="4:24" ht="12.75" customHeight="1" x14ac:dyDescent="0.25">
      <c r="D494" s="138"/>
      <c r="E494" s="138"/>
      <c r="L494" s="138"/>
      <c r="O494" s="138"/>
      <c r="R494" s="138"/>
      <c r="U494" s="138"/>
      <c r="X494" s="138"/>
    </row>
    <row r="495" spans="4:24" ht="12.75" customHeight="1" x14ac:dyDescent="0.25">
      <c r="D495" s="138"/>
      <c r="E495" s="138"/>
      <c r="L495" s="138"/>
      <c r="O495" s="138"/>
      <c r="R495" s="138"/>
      <c r="U495" s="138"/>
      <c r="X495" s="138"/>
    </row>
    <row r="496" spans="4:24" ht="12.75" customHeight="1" x14ac:dyDescent="0.25">
      <c r="D496" s="138"/>
      <c r="E496" s="138"/>
      <c r="L496" s="138"/>
      <c r="O496" s="138"/>
      <c r="R496" s="138"/>
      <c r="U496" s="138"/>
      <c r="X496" s="138"/>
    </row>
    <row r="497" spans="4:24" ht="12.75" customHeight="1" x14ac:dyDescent="0.25">
      <c r="D497" s="138"/>
      <c r="E497" s="138"/>
      <c r="L497" s="138"/>
      <c r="O497" s="138"/>
      <c r="R497" s="138"/>
      <c r="U497" s="138"/>
      <c r="X497" s="138"/>
    </row>
    <row r="498" spans="4:24" ht="12.75" customHeight="1" x14ac:dyDescent="0.25">
      <c r="D498" s="138"/>
      <c r="E498" s="138"/>
      <c r="L498" s="138"/>
      <c r="O498" s="138"/>
      <c r="R498" s="138"/>
      <c r="U498" s="138"/>
      <c r="X498" s="138"/>
    </row>
    <row r="499" spans="4:24" ht="12.75" customHeight="1" x14ac:dyDescent="0.25">
      <c r="D499" s="138"/>
      <c r="E499" s="138"/>
      <c r="L499" s="138"/>
      <c r="O499" s="138"/>
      <c r="R499" s="138"/>
      <c r="U499" s="138"/>
      <c r="X499" s="138"/>
    </row>
    <row r="500" spans="4:24" ht="12.75" customHeight="1" x14ac:dyDescent="0.25">
      <c r="D500" s="138"/>
      <c r="E500" s="138"/>
      <c r="L500" s="138"/>
      <c r="O500" s="138"/>
      <c r="R500" s="138"/>
      <c r="U500" s="138"/>
      <c r="X500" s="138"/>
    </row>
    <row r="501" spans="4:24" ht="12.75" customHeight="1" x14ac:dyDescent="0.25">
      <c r="D501" s="138"/>
      <c r="E501" s="138"/>
      <c r="L501" s="138"/>
      <c r="O501" s="138"/>
      <c r="R501" s="138"/>
      <c r="U501" s="138"/>
      <c r="X501" s="138"/>
    </row>
    <row r="502" spans="4:24" ht="12.75" customHeight="1" x14ac:dyDescent="0.25">
      <c r="D502" s="138"/>
      <c r="E502" s="138"/>
      <c r="L502" s="138"/>
      <c r="O502" s="138"/>
      <c r="R502" s="138"/>
      <c r="U502" s="138"/>
      <c r="X502" s="138"/>
    </row>
    <row r="503" spans="4:24" ht="12.75" customHeight="1" x14ac:dyDescent="0.25">
      <c r="D503" s="138"/>
      <c r="E503" s="138"/>
      <c r="L503" s="138"/>
      <c r="O503" s="138"/>
      <c r="R503" s="138"/>
      <c r="U503" s="138"/>
      <c r="X503" s="138"/>
    </row>
    <row r="504" spans="4:24" ht="12.75" customHeight="1" x14ac:dyDescent="0.25">
      <c r="D504" s="138"/>
      <c r="E504" s="138"/>
      <c r="L504" s="138"/>
      <c r="O504" s="138"/>
      <c r="R504" s="138"/>
      <c r="U504" s="138"/>
      <c r="X504" s="138"/>
    </row>
    <row r="505" spans="4:24" ht="12.75" customHeight="1" x14ac:dyDescent="0.25">
      <c r="D505" s="138"/>
      <c r="E505" s="138"/>
      <c r="L505" s="138"/>
      <c r="O505" s="138"/>
      <c r="R505" s="138"/>
      <c r="U505" s="138"/>
      <c r="X505" s="138"/>
    </row>
    <row r="506" spans="4:24" ht="12.75" customHeight="1" x14ac:dyDescent="0.25">
      <c r="D506" s="138"/>
      <c r="E506" s="138"/>
      <c r="L506" s="138"/>
      <c r="O506" s="138"/>
      <c r="R506" s="138"/>
      <c r="U506" s="138"/>
      <c r="X506" s="138"/>
    </row>
    <row r="507" spans="4:24" ht="12.75" customHeight="1" x14ac:dyDescent="0.25">
      <c r="D507" s="138"/>
      <c r="E507" s="138"/>
      <c r="L507" s="138"/>
      <c r="O507" s="138"/>
      <c r="R507" s="138"/>
      <c r="U507" s="138"/>
      <c r="X507" s="138"/>
    </row>
    <row r="508" spans="4:24" ht="12.75" customHeight="1" x14ac:dyDescent="0.25">
      <c r="D508" s="138"/>
      <c r="E508" s="138"/>
      <c r="L508" s="138"/>
      <c r="O508" s="138"/>
      <c r="R508" s="138"/>
      <c r="U508" s="138"/>
      <c r="X508" s="138"/>
    </row>
    <row r="509" spans="4:24" ht="12.75" customHeight="1" x14ac:dyDescent="0.25">
      <c r="D509" s="138"/>
      <c r="E509" s="138"/>
      <c r="L509" s="138"/>
      <c r="O509" s="138"/>
      <c r="R509" s="138"/>
      <c r="U509" s="138"/>
      <c r="X509" s="138"/>
    </row>
    <row r="510" spans="4:24" ht="12.75" customHeight="1" x14ac:dyDescent="0.25">
      <c r="D510" s="138"/>
      <c r="E510" s="138"/>
      <c r="L510" s="138"/>
      <c r="O510" s="138"/>
      <c r="R510" s="138"/>
      <c r="U510" s="138"/>
      <c r="X510" s="138"/>
    </row>
    <row r="511" spans="4:24" ht="12.75" customHeight="1" x14ac:dyDescent="0.25">
      <c r="D511" s="138"/>
      <c r="E511" s="138"/>
      <c r="L511" s="138"/>
      <c r="O511" s="138"/>
      <c r="R511" s="138"/>
      <c r="U511" s="138"/>
      <c r="X511" s="138"/>
    </row>
    <row r="512" spans="4:24" ht="12.75" customHeight="1" x14ac:dyDescent="0.25">
      <c r="D512" s="138"/>
      <c r="E512" s="138"/>
      <c r="L512" s="138"/>
      <c r="O512" s="138"/>
      <c r="R512" s="138"/>
      <c r="U512" s="138"/>
      <c r="X512" s="138"/>
    </row>
    <row r="513" spans="4:24" ht="12.75" customHeight="1" x14ac:dyDescent="0.25">
      <c r="D513" s="138"/>
      <c r="E513" s="138"/>
      <c r="L513" s="138"/>
      <c r="O513" s="138"/>
      <c r="R513" s="138"/>
      <c r="U513" s="138"/>
      <c r="X513" s="138"/>
    </row>
    <row r="514" spans="4:24" ht="12.75" customHeight="1" x14ac:dyDescent="0.25">
      <c r="D514" s="138"/>
      <c r="E514" s="138"/>
      <c r="L514" s="138"/>
      <c r="O514" s="138"/>
      <c r="R514" s="138"/>
      <c r="U514" s="138"/>
      <c r="X514" s="138"/>
    </row>
    <row r="515" spans="4:24" ht="12.75" customHeight="1" x14ac:dyDescent="0.25">
      <c r="D515" s="138"/>
      <c r="E515" s="138"/>
      <c r="L515" s="138"/>
      <c r="O515" s="138"/>
      <c r="R515" s="138"/>
      <c r="U515" s="138"/>
      <c r="X515" s="138"/>
    </row>
    <row r="516" spans="4:24" ht="12.75" customHeight="1" x14ac:dyDescent="0.25">
      <c r="D516" s="138"/>
      <c r="E516" s="138"/>
      <c r="L516" s="138"/>
      <c r="O516" s="138"/>
      <c r="R516" s="138"/>
      <c r="U516" s="138"/>
      <c r="X516" s="138"/>
    </row>
    <row r="517" spans="4:24" ht="12.75" customHeight="1" x14ac:dyDescent="0.25">
      <c r="D517" s="138"/>
      <c r="E517" s="138"/>
      <c r="L517" s="138"/>
      <c r="O517" s="138"/>
      <c r="R517" s="138"/>
      <c r="U517" s="138"/>
      <c r="X517" s="138"/>
    </row>
    <row r="518" spans="4:24" ht="12.75" customHeight="1" x14ac:dyDescent="0.25">
      <c r="D518" s="138"/>
      <c r="E518" s="138"/>
      <c r="L518" s="138"/>
      <c r="O518" s="138"/>
      <c r="R518" s="138"/>
      <c r="U518" s="138"/>
      <c r="X518" s="138"/>
    </row>
    <row r="519" spans="4:24" ht="12.75" customHeight="1" x14ac:dyDescent="0.25">
      <c r="D519" s="138"/>
      <c r="E519" s="138"/>
      <c r="L519" s="138"/>
      <c r="O519" s="138"/>
      <c r="R519" s="138"/>
      <c r="U519" s="138"/>
      <c r="X519" s="138"/>
    </row>
    <row r="520" spans="4:24" ht="12.75" customHeight="1" x14ac:dyDescent="0.25">
      <c r="D520" s="138"/>
      <c r="E520" s="138"/>
      <c r="L520" s="138"/>
      <c r="O520" s="138"/>
      <c r="R520" s="138"/>
      <c r="U520" s="138"/>
      <c r="X520" s="138"/>
    </row>
    <row r="521" spans="4:24" ht="12.75" customHeight="1" x14ac:dyDescent="0.25">
      <c r="D521" s="138"/>
      <c r="E521" s="138"/>
      <c r="L521" s="138"/>
      <c r="O521" s="138"/>
      <c r="R521" s="138"/>
      <c r="U521" s="138"/>
      <c r="X521" s="138"/>
    </row>
    <row r="522" spans="4:24" ht="12.75" customHeight="1" x14ac:dyDescent="0.25">
      <c r="D522" s="138"/>
      <c r="E522" s="138"/>
      <c r="L522" s="138"/>
      <c r="O522" s="138"/>
      <c r="R522" s="138"/>
      <c r="U522" s="138"/>
      <c r="X522" s="138"/>
    </row>
    <row r="523" spans="4:24" ht="12.75" customHeight="1" x14ac:dyDescent="0.25">
      <c r="D523" s="138"/>
      <c r="E523" s="138"/>
      <c r="L523" s="138"/>
      <c r="O523" s="138"/>
      <c r="R523" s="138"/>
      <c r="U523" s="138"/>
      <c r="X523" s="138"/>
    </row>
    <row r="524" spans="4:24" ht="12.75" customHeight="1" x14ac:dyDescent="0.25">
      <c r="D524" s="138"/>
      <c r="E524" s="138"/>
      <c r="L524" s="138"/>
      <c r="O524" s="138"/>
      <c r="R524" s="138"/>
      <c r="U524" s="138"/>
      <c r="X524" s="138"/>
    </row>
    <row r="525" spans="4:24" ht="12.75" customHeight="1" x14ac:dyDescent="0.25">
      <c r="D525" s="138"/>
      <c r="E525" s="138"/>
      <c r="L525" s="138"/>
      <c r="O525" s="138"/>
      <c r="R525" s="138"/>
      <c r="U525" s="138"/>
      <c r="X525" s="138"/>
    </row>
    <row r="526" spans="4:24" ht="12.75" customHeight="1" x14ac:dyDescent="0.25">
      <c r="D526" s="138"/>
      <c r="E526" s="138"/>
      <c r="L526" s="138"/>
      <c r="O526" s="138"/>
      <c r="R526" s="138"/>
      <c r="U526" s="138"/>
      <c r="X526" s="138"/>
    </row>
    <row r="527" spans="4:24" ht="12.75" customHeight="1" x14ac:dyDescent="0.25">
      <c r="D527" s="138"/>
      <c r="E527" s="138"/>
      <c r="L527" s="138"/>
      <c r="O527" s="138"/>
      <c r="R527" s="138"/>
      <c r="U527" s="138"/>
      <c r="X527" s="138"/>
    </row>
    <row r="528" spans="4:24" ht="12.75" customHeight="1" x14ac:dyDescent="0.25">
      <c r="D528" s="138"/>
      <c r="E528" s="138"/>
      <c r="L528" s="138"/>
      <c r="O528" s="138"/>
      <c r="R528" s="138"/>
      <c r="U528" s="138"/>
      <c r="X528" s="138"/>
    </row>
    <row r="529" spans="4:24" ht="12.75" customHeight="1" x14ac:dyDescent="0.25">
      <c r="D529" s="138"/>
      <c r="E529" s="138"/>
      <c r="L529" s="138"/>
      <c r="O529" s="138"/>
      <c r="R529" s="138"/>
      <c r="U529" s="138"/>
      <c r="X529" s="138"/>
    </row>
    <row r="530" spans="4:24" ht="12.75" customHeight="1" x14ac:dyDescent="0.25">
      <c r="D530" s="138"/>
      <c r="E530" s="138"/>
      <c r="L530" s="138"/>
      <c r="O530" s="138"/>
      <c r="R530" s="138"/>
      <c r="U530" s="138"/>
      <c r="X530" s="138"/>
    </row>
    <row r="531" spans="4:24" ht="12.75" customHeight="1" x14ac:dyDescent="0.25">
      <c r="D531" s="138"/>
      <c r="E531" s="138"/>
      <c r="L531" s="138"/>
      <c r="O531" s="138"/>
      <c r="R531" s="138"/>
      <c r="U531" s="138"/>
      <c r="X531" s="138"/>
    </row>
    <row r="532" spans="4:24" ht="12.75" customHeight="1" x14ac:dyDescent="0.25">
      <c r="D532" s="138"/>
      <c r="E532" s="138"/>
      <c r="L532" s="138"/>
      <c r="O532" s="138"/>
      <c r="R532" s="138"/>
      <c r="U532" s="138"/>
      <c r="X532" s="138"/>
    </row>
    <row r="533" spans="4:24" ht="12.75" customHeight="1" x14ac:dyDescent="0.25">
      <c r="D533" s="138"/>
      <c r="E533" s="138"/>
      <c r="L533" s="138"/>
      <c r="O533" s="138"/>
      <c r="R533" s="138"/>
      <c r="U533" s="138"/>
      <c r="X533" s="138"/>
    </row>
    <row r="534" spans="4:24" ht="12.75" customHeight="1" x14ac:dyDescent="0.25">
      <c r="D534" s="138"/>
      <c r="E534" s="138"/>
      <c r="L534" s="138"/>
      <c r="O534" s="138"/>
      <c r="R534" s="138"/>
      <c r="U534" s="138"/>
      <c r="X534" s="138"/>
    </row>
    <row r="535" spans="4:24" ht="12.75" customHeight="1" x14ac:dyDescent="0.25">
      <c r="D535" s="138"/>
      <c r="E535" s="138"/>
      <c r="L535" s="138"/>
      <c r="O535" s="138"/>
      <c r="R535" s="138"/>
      <c r="U535" s="138"/>
      <c r="X535" s="138"/>
    </row>
    <row r="536" spans="4:24" ht="12.75" customHeight="1" x14ac:dyDescent="0.25">
      <c r="D536" s="138"/>
      <c r="E536" s="138"/>
      <c r="L536" s="138"/>
      <c r="O536" s="138"/>
      <c r="R536" s="138"/>
      <c r="U536" s="138"/>
      <c r="X536" s="138"/>
    </row>
    <row r="537" spans="4:24" ht="12.75" customHeight="1" x14ac:dyDescent="0.25">
      <c r="D537" s="138"/>
      <c r="E537" s="138"/>
      <c r="L537" s="138"/>
      <c r="O537" s="138"/>
      <c r="R537" s="138"/>
      <c r="U537" s="138"/>
      <c r="X537" s="138"/>
    </row>
    <row r="538" spans="4:24" ht="12.75" customHeight="1" x14ac:dyDescent="0.25">
      <c r="D538" s="138"/>
      <c r="E538" s="138"/>
      <c r="L538" s="138"/>
      <c r="O538" s="138"/>
      <c r="R538" s="138"/>
      <c r="U538" s="138"/>
      <c r="X538" s="138"/>
    </row>
    <row r="539" spans="4:24" ht="12.75" customHeight="1" x14ac:dyDescent="0.25">
      <c r="D539" s="138"/>
      <c r="E539" s="138"/>
      <c r="L539" s="138"/>
      <c r="O539" s="138"/>
      <c r="R539" s="138"/>
      <c r="U539" s="138"/>
      <c r="X539" s="138"/>
    </row>
    <row r="540" spans="4:24" ht="12.75" customHeight="1" x14ac:dyDescent="0.25">
      <c r="D540" s="138"/>
      <c r="E540" s="138"/>
      <c r="L540" s="138"/>
      <c r="O540" s="138"/>
      <c r="R540" s="138"/>
      <c r="U540" s="138"/>
      <c r="X540" s="138"/>
    </row>
    <row r="541" spans="4:24" ht="12.75" customHeight="1" x14ac:dyDescent="0.25">
      <c r="D541" s="138"/>
      <c r="E541" s="138"/>
      <c r="L541" s="138"/>
      <c r="O541" s="138"/>
      <c r="R541" s="138"/>
      <c r="U541" s="138"/>
      <c r="X541" s="138"/>
    </row>
    <row r="542" spans="4:24" ht="12.75" customHeight="1" x14ac:dyDescent="0.25">
      <c r="D542" s="138"/>
      <c r="E542" s="138"/>
      <c r="L542" s="138"/>
      <c r="O542" s="138"/>
      <c r="R542" s="138"/>
      <c r="U542" s="138"/>
      <c r="X542" s="138"/>
    </row>
    <row r="543" spans="4:24" ht="12.75" customHeight="1" x14ac:dyDescent="0.25">
      <c r="D543" s="138"/>
      <c r="E543" s="138"/>
      <c r="L543" s="138"/>
      <c r="O543" s="138"/>
      <c r="R543" s="138"/>
      <c r="U543" s="138"/>
      <c r="X543" s="138"/>
    </row>
    <row r="544" spans="4:24" ht="12.75" customHeight="1" x14ac:dyDescent="0.25">
      <c r="D544" s="138"/>
      <c r="E544" s="138"/>
      <c r="L544" s="138"/>
      <c r="O544" s="138"/>
      <c r="R544" s="138"/>
      <c r="U544" s="138"/>
      <c r="X544" s="138"/>
    </row>
    <row r="545" spans="4:24" ht="12.75" customHeight="1" x14ac:dyDescent="0.25">
      <c r="D545" s="138"/>
      <c r="E545" s="138"/>
      <c r="L545" s="138"/>
      <c r="O545" s="138"/>
      <c r="R545" s="138"/>
      <c r="U545" s="138"/>
      <c r="X545" s="138"/>
    </row>
    <row r="546" spans="4:24" ht="12.75" customHeight="1" x14ac:dyDescent="0.25">
      <c r="D546" s="138"/>
      <c r="E546" s="138"/>
      <c r="L546" s="138"/>
      <c r="O546" s="138"/>
      <c r="R546" s="138"/>
      <c r="U546" s="138"/>
      <c r="X546" s="138"/>
    </row>
    <row r="547" spans="4:24" ht="12.75" customHeight="1" x14ac:dyDescent="0.25">
      <c r="D547" s="138"/>
      <c r="E547" s="138"/>
      <c r="L547" s="138"/>
      <c r="O547" s="138"/>
      <c r="R547" s="138"/>
      <c r="U547" s="138"/>
      <c r="X547" s="138"/>
    </row>
    <row r="548" spans="4:24" ht="12.75" customHeight="1" x14ac:dyDescent="0.25">
      <c r="D548" s="138"/>
      <c r="E548" s="138"/>
      <c r="L548" s="138"/>
      <c r="O548" s="138"/>
      <c r="R548" s="138"/>
      <c r="U548" s="138"/>
      <c r="X548" s="138"/>
    </row>
    <row r="549" spans="4:24" ht="12.75" customHeight="1" x14ac:dyDescent="0.25">
      <c r="D549" s="138"/>
      <c r="E549" s="138"/>
      <c r="L549" s="138"/>
      <c r="O549" s="138"/>
      <c r="R549" s="138"/>
      <c r="U549" s="138"/>
      <c r="X549" s="138"/>
    </row>
    <row r="550" spans="4:24" ht="12.75" customHeight="1" x14ac:dyDescent="0.25">
      <c r="D550" s="138"/>
      <c r="E550" s="138"/>
      <c r="L550" s="138"/>
      <c r="O550" s="138"/>
      <c r="R550" s="138"/>
      <c r="U550" s="138"/>
      <c r="X550" s="138"/>
    </row>
    <row r="551" spans="4:24" ht="12.75" customHeight="1" x14ac:dyDescent="0.25">
      <c r="D551" s="138"/>
      <c r="E551" s="138"/>
      <c r="L551" s="138"/>
      <c r="O551" s="138"/>
      <c r="R551" s="138"/>
      <c r="U551" s="138"/>
      <c r="X551" s="138"/>
    </row>
    <row r="552" spans="4:24" ht="12.75" customHeight="1" x14ac:dyDescent="0.25">
      <c r="D552" s="138"/>
      <c r="E552" s="138"/>
      <c r="L552" s="138"/>
      <c r="O552" s="138"/>
      <c r="R552" s="138"/>
      <c r="U552" s="138"/>
      <c r="X552" s="138"/>
    </row>
    <row r="553" spans="4:24" ht="12.75" customHeight="1" x14ac:dyDescent="0.25">
      <c r="D553" s="138"/>
      <c r="E553" s="138"/>
      <c r="L553" s="138"/>
      <c r="O553" s="138"/>
      <c r="R553" s="138"/>
      <c r="U553" s="138"/>
      <c r="X553" s="138"/>
    </row>
    <row r="554" spans="4:24" ht="12.75" customHeight="1" x14ac:dyDescent="0.25">
      <c r="D554" s="138"/>
      <c r="E554" s="138"/>
      <c r="L554" s="138"/>
      <c r="O554" s="138"/>
      <c r="R554" s="138"/>
      <c r="U554" s="138"/>
      <c r="X554" s="138"/>
    </row>
    <row r="555" spans="4:24" ht="12.75" customHeight="1" x14ac:dyDescent="0.25">
      <c r="D555" s="138"/>
      <c r="E555" s="138"/>
      <c r="L555" s="138"/>
      <c r="O555" s="138"/>
      <c r="R555" s="138"/>
      <c r="U555" s="138"/>
      <c r="X555" s="138"/>
    </row>
    <row r="556" spans="4:24" ht="12.75" customHeight="1" x14ac:dyDescent="0.25">
      <c r="D556" s="138"/>
      <c r="E556" s="138"/>
      <c r="L556" s="138"/>
      <c r="O556" s="138"/>
      <c r="R556" s="138"/>
      <c r="U556" s="138"/>
      <c r="X556" s="138"/>
    </row>
    <row r="557" spans="4:24" ht="12.75" customHeight="1" x14ac:dyDescent="0.25">
      <c r="D557" s="138"/>
      <c r="E557" s="138"/>
      <c r="L557" s="138"/>
      <c r="O557" s="138"/>
      <c r="R557" s="138"/>
      <c r="U557" s="138"/>
      <c r="X557" s="138"/>
    </row>
    <row r="558" spans="4:24" ht="12.75" customHeight="1" x14ac:dyDescent="0.25">
      <c r="D558" s="138"/>
      <c r="E558" s="138"/>
      <c r="L558" s="138"/>
      <c r="O558" s="138"/>
      <c r="R558" s="138"/>
      <c r="U558" s="138"/>
      <c r="X558" s="138"/>
    </row>
    <row r="559" spans="4:24" ht="12.75" customHeight="1" x14ac:dyDescent="0.25">
      <c r="D559" s="138"/>
      <c r="E559" s="138"/>
      <c r="L559" s="138"/>
      <c r="O559" s="138"/>
      <c r="R559" s="138"/>
      <c r="U559" s="138"/>
      <c r="X559" s="138"/>
    </row>
    <row r="560" spans="4:24" ht="12.75" customHeight="1" x14ac:dyDescent="0.25">
      <c r="D560" s="138"/>
      <c r="E560" s="138"/>
      <c r="L560" s="138"/>
      <c r="O560" s="138"/>
      <c r="R560" s="138"/>
      <c r="U560" s="138"/>
      <c r="X560" s="138"/>
    </row>
    <row r="561" spans="4:24" ht="12.75" customHeight="1" x14ac:dyDescent="0.25">
      <c r="D561" s="138"/>
      <c r="E561" s="138"/>
      <c r="L561" s="138"/>
      <c r="O561" s="138"/>
      <c r="R561" s="138"/>
      <c r="U561" s="138"/>
      <c r="X561" s="138"/>
    </row>
    <row r="562" spans="4:24" ht="12.75" customHeight="1" x14ac:dyDescent="0.25">
      <c r="D562" s="138"/>
      <c r="E562" s="138"/>
      <c r="L562" s="138"/>
      <c r="O562" s="138"/>
      <c r="R562" s="138"/>
      <c r="U562" s="138"/>
      <c r="X562" s="138"/>
    </row>
    <row r="563" spans="4:24" ht="12.75" customHeight="1" x14ac:dyDescent="0.25">
      <c r="D563" s="138"/>
      <c r="E563" s="138"/>
      <c r="L563" s="138"/>
      <c r="O563" s="138"/>
      <c r="R563" s="138"/>
      <c r="U563" s="138"/>
      <c r="X563" s="138"/>
    </row>
    <row r="564" spans="4:24" ht="12.75" customHeight="1" x14ac:dyDescent="0.25">
      <c r="D564" s="138"/>
      <c r="E564" s="138"/>
      <c r="L564" s="138"/>
      <c r="O564" s="138"/>
      <c r="R564" s="138"/>
      <c r="U564" s="138"/>
      <c r="X564" s="138"/>
    </row>
    <row r="565" spans="4:24" ht="12.75" customHeight="1" x14ac:dyDescent="0.25">
      <c r="D565" s="138"/>
      <c r="E565" s="138"/>
      <c r="L565" s="138"/>
      <c r="O565" s="138"/>
      <c r="R565" s="138"/>
      <c r="U565" s="138"/>
      <c r="X565" s="138"/>
    </row>
    <row r="566" spans="4:24" ht="12.75" customHeight="1" x14ac:dyDescent="0.25">
      <c r="D566" s="138"/>
      <c r="E566" s="138"/>
      <c r="L566" s="138"/>
      <c r="O566" s="138"/>
      <c r="R566" s="138"/>
      <c r="U566" s="138"/>
      <c r="X566" s="138"/>
    </row>
    <row r="567" spans="4:24" ht="12.75" customHeight="1" x14ac:dyDescent="0.25">
      <c r="D567" s="138"/>
      <c r="E567" s="138"/>
      <c r="L567" s="138"/>
      <c r="O567" s="138"/>
      <c r="R567" s="138"/>
      <c r="U567" s="138"/>
      <c r="X567" s="138"/>
    </row>
    <row r="568" spans="4:24" ht="12.75" customHeight="1" x14ac:dyDescent="0.25">
      <c r="D568" s="138"/>
      <c r="E568" s="138"/>
      <c r="L568" s="138"/>
      <c r="O568" s="138"/>
      <c r="R568" s="138"/>
      <c r="U568" s="138"/>
      <c r="X568" s="138"/>
    </row>
    <row r="569" spans="4:24" ht="12.75" customHeight="1" x14ac:dyDescent="0.25">
      <c r="D569" s="138"/>
      <c r="E569" s="138"/>
      <c r="L569" s="138"/>
      <c r="O569" s="138"/>
      <c r="R569" s="138"/>
      <c r="U569" s="138"/>
      <c r="X569" s="138"/>
    </row>
    <row r="570" spans="4:24" ht="12.75" customHeight="1" x14ac:dyDescent="0.25">
      <c r="D570" s="138"/>
      <c r="E570" s="138"/>
      <c r="L570" s="138"/>
      <c r="O570" s="138"/>
      <c r="R570" s="138"/>
      <c r="U570" s="138"/>
      <c r="X570" s="138"/>
    </row>
    <row r="571" spans="4:24" ht="12.75" customHeight="1" x14ac:dyDescent="0.25">
      <c r="D571" s="138"/>
      <c r="E571" s="138"/>
      <c r="L571" s="138"/>
      <c r="O571" s="138"/>
      <c r="R571" s="138"/>
      <c r="U571" s="138"/>
      <c r="X571" s="138"/>
    </row>
    <row r="572" spans="4:24" ht="12.75" customHeight="1" x14ac:dyDescent="0.25">
      <c r="D572" s="138"/>
      <c r="E572" s="138"/>
      <c r="L572" s="138"/>
      <c r="O572" s="138"/>
      <c r="R572" s="138"/>
      <c r="U572" s="138"/>
      <c r="X572" s="138"/>
    </row>
    <row r="573" spans="4:24" ht="12.75" customHeight="1" x14ac:dyDescent="0.25">
      <c r="D573" s="138"/>
      <c r="E573" s="138"/>
      <c r="L573" s="138"/>
      <c r="O573" s="138"/>
      <c r="R573" s="138"/>
      <c r="U573" s="138"/>
      <c r="X573" s="138"/>
    </row>
    <row r="574" spans="4:24" ht="12.75" customHeight="1" x14ac:dyDescent="0.25">
      <c r="D574" s="138"/>
      <c r="E574" s="138"/>
      <c r="L574" s="138"/>
      <c r="O574" s="138"/>
      <c r="R574" s="138"/>
      <c r="U574" s="138"/>
      <c r="X574" s="138"/>
    </row>
    <row r="575" spans="4:24" ht="12.75" customHeight="1" x14ac:dyDescent="0.25">
      <c r="D575" s="138"/>
      <c r="E575" s="138"/>
      <c r="L575" s="138"/>
      <c r="O575" s="138"/>
      <c r="R575" s="138"/>
      <c r="U575" s="138"/>
      <c r="X575" s="138"/>
    </row>
    <row r="576" spans="4:24" ht="12.75" customHeight="1" x14ac:dyDescent="0.25">
      <c r="D576" s="138"/>
      <c r="E576" s="138"/>
      <c r="L576" s="138"/>
      <c r="O576" s="138"/>
      <c r="R576" s="138"/>
      <c r="U576" s="138"/>
      <c r="X576" s="138"/>
    </row>
    <row r="577" spans="4:24" ht="12.75" customHeight="1" x14ac:dyDescent="0.25">
      <c r="D577" s="138"/>
      <c r="E577" s="138"/>
      <c r="L577" s="138"/>
      <c r="O577" s="138"/>
      <c r="R577" s="138"/>
      <c r="U577" s="138"/>
      <c r="X577" s="138"/>
    </row>
    <row r="578" spans="4:24" ht="12.75" customHeight="1" x14ac:dyDescent="0.25">
      <c r="D578" s="138"/>
      <c r="E578" s="138"/>
      <c r="L578" s="138"/>
      <c r="O578" s="138"/>
      <c r="R578" s="138"/>
      <c r="U578" s="138"/>
      <c r="X578" s="138"/>
    </row>
    <row r="579" spans="4:24" ht="12.75" customHeight="1" x14ac:dyDescent="0.25">
      <c r="D579" s="138"/>
      <c r="E579" s="138"/>
      <c r="L579" s="138"/>
      <c r="O579" s="138"/>
      <c r="R579" s="138"/>
      <c r="U579" s="138"/>
      <c r="X579" s="138"/>
    </row>
    <row r="580" spans="4:24" ht="12.75" customHeight="1" x14ac:dyDescent="0.25">
      <c r="D580" s="138"/>
      <c r="E580" s="138"/>
      <c r="L580" s="138"/>
      <c r="O580" s="138"/>
      <c r="R580" s="138"/>
      <c r="U580" s="138"/>
      <c r="X580" s="138"/>
    </row>
    <row r="581" spans="4:24" ht="12.75" customHeight="1" x14ac:dyDescent="0.25">
      <c r="D581" s="138"/>
      <c r="E581" s="138"/>
      <c r="L581" s="138"/>
      <c r="O581" s="138"/>
      <c r="R581" s="138"/>
      <c r="U581" s="138"/>
      <c r="X581" s="138"/>
    </row>
    <row r="582" spans="4:24" ht="12.75" customHeight="1" x14ac:dyDescent="0.25">
      <c r="D582" s="138"/>
      <c r="E582" s="138"/>
      <c r="L582" s="138"/>
      <c r="O582" s="138"/>
      <c r="R582" s="138"/>
      <c r="U582" s="138"/>
      <c r="X582" s="138"/>
    </row>
    <row r="583" spans="4:24" ht="12.75" customHeight="1" x14ac:dyDescent="0.25">
      <c r="D583" s="138"/>
      <c r="E583" s="138"/>
      <c r="L583" s="138"/>
      <c r="O583" s="138"/>
      <c r="R583" s="138"/>
      <c r="U583" s="138"/>
      <c r="X583" s="138"/>
    </row>
    <row r="584" spans="4:24" ht="12.75" customHeight="1" x14ac:dyDescent="0.25">
      <c r="D584" s="138"/>
      <c r="E584" s="138"/>
      <c r="L584" s="138"/>
      <c r="O584" s="138"/>
      <c r="R584" s="138"/>
      <c r="U584" s="138"/>
      <c r="X584" s="138"/>
    </row>
    <row r="585" spans="4:24" ht="12.75" customHeight="1" x14ac:dyDescent="0.25">
      <c r="D585" s="138"/>
      <c r="E585" s="138"/>
      <c r="L585" s="138"/>
      <c r="O585" s="138"/>
      <c r="R585" s="138"/>
      <c r="U585" s="138"/>
      <c r="X585" s="138"/>
    </row>
    <row r="586" spans="4:24" ht="12.75" customHeight="1" x14ac:dyDescent="0.25">
      <c r="D586" s="138"/>
      <c r="E586" s="138"/>
      <c r="L586" s="138"/>
      <c r="O586" s="138"/>
      <c r="R586" s="138"/>
      <c r="U586" s="138"/>
      <c r="X586" s="138"/>
    </row>
    <row r="587" spans="4:24" ht="12.75" customHeight="1" x14ac:dyDescent="0.25">
      <c r="D587" s="138"/>
      <c r="E587" s="138"/>
      <c r="L587" s="138"/>
      <c r="O587" s="138"/>
      <c r="R587" s="138"/>
      <c r="U587" s="138"/>
      <c r="X587" s="138"/>
    </row>
    <row r="588" spans="4:24" ht="12.75" customHeight="1" x14ac:dyDescent="0.25">
      <c r="D588" s="138"/>
      <c r="E588" s="138"/>
      <c r="L588" s="138"/>
      <c r="O588" s="138"/>
      <c r="R588" s="138"/>
      <c r="U588" s="138"/>
      <c r="X588" s="138"/>
    </row>
    <row r="589" spans="4:24" ht="12.75" customHeight="1" x14ac:dyDescent="0.25">
      <c r="D589" s="138"/>
      <c r="E589" s="138"/>
      <c r="L589" s="138"/>
      <c r="O589" s="138"/>
      <c r="R589" s="138"/>
      <c r="U589" s="138"/>
      <c r="X589" s="138"/>
    </row>
    <row r="590" spans="4:24" ht="12.75" customHeight="1" x14ac:dyDescent="0.25">
      <c r="D590" s="138"/>
      <c r="E590" s="138"/>
      <c r="L590" s="138"/>
      <c r="O590" s="138"/>
      <c r="R590" s="138"/>
      <c r="U590" s="138"/>
      <c r="X590" s="138"/>
    </row>
    <row r="591" spans="4:24" ht="12.75" customHeight="1" x14ac:dyDescent="0.25">
      <c r="D591" s="138"/>
      <c r="E591" s="138"/>
      <c r="L591" s="138"/>
      <c r="O591" s="138"/>
      <c r="R591" s="138"/>
      <c r="U591" s="138"/>
      <c r="X591" s="138"/>
    </row>
    <row r="592" spans="4:24" ht="12.75" customHeight="1" x14ac:dyDescent="0.25">
      <c r="D592" s="138"/>
      <c r="E592" s="138"/>
      <c r="L592" s="138"/>
      <c r="O592" s="138"/>
      <c r="R592" s="138"/>
      <c r="U592" s="138"/>
      <c r="X592" s="138"/>
    </row>
    <row r="593" spans="4:24" ht="12.75" customHeight="1" x14ac:dyDescent="0.25">
      <c r="D593" s="138"/>
      <c r="E593" s="138"/>
      <c r="L593" s="138"/>
      <c r="O593" s="138"/>
      <c r="R593" s="138"/>
      <c r="U593" s="138"/>
      <c r="X593" s="138"/>
    </row>
    <row r="594" spans="4:24" ht="12.75" customHeight="1" x14ac:dyDescent="0.25">
      <c r="D594" s="138"/>
      <c r="E594" s="138"/>
      <c r="L594" s="138"/>
      <c r="O594" s="138"/>
      <c r="R594" s="138"/>
      <c r="U594" s="138"/>
      <c r="X594" s="138"/>
    </row>
    <row r="595" spans="4:24" ht="12.75" customHeight="1" x14ac:dyDescent="0.25">
      <c r="D595" s="138"/>
      <c r="E595" s="138"/>
      <c r="L595" s="138"/>
      <c r="O595" s="138"/>
      <c r="R595" s="138"/>
      <c r="U595" s="138"/>
      <c r="X595" s="138"/>
    </row>
    <row r="596" spans="4:24" ht="12.75" customHeight="1" x14ac:dyDescent="0.25">
      <c r="D596" s="138"/>
      <c r="E596" s="138"/>
      <c r="L596" s="138"/>
      <c r="O596" s="138"/>
      <c r="R596" s="138"/>
      <c r="U596" s="138"/>
      <c r="X596" s="138"/>
    </row>
    <row r="597" spans="4:24" ht="12.75" customHeight="1" x14ac:dyDescent="0.25">
      <c r="D597" s="138"/>
      <c r="E597" s="138"/>
      <c r="L597" s="138"/>
      <c r="O597" s="138"/>
      <c r="R597" s="138"/>
      <c r="U597" s="138"/>
      <c r="X597" s="138"/>
    </row>
    <row r="598" spans="4:24" ht="12.75" customHeight="1" x14ac:dyDescent="0.25">
      <c r="D598" s="138"/>
      <c r="E598" s="138"/>
      <c r="L598" s="138"/>
      <c r="O598" s="138"/>
      <c r="R598" s="138"/>
      <c r="U598" s="138"/>
      <c r="X598" s="138"/>
    </row>
    <row r="599" spans="4:24" ht="12.75" customHeight="1" x14ac:dyDescent="0.25">
      <c r="D599" s="138"/>
      <c r="E599" s="138"/>
      <c r="L599" s="138"/>
      <c r="O599" s="138"/>
      <c r="R599" s="138"/>
      <c r="U599" s="138"/>
      <c r="X599" s="138"/>
    </row>
    <row r="600" spans="4:24" ht="12.75" customHeight="1" x14ac:dyDescent="0.25">
      <c r="D600" s="138"/>
      <c r="E600" s="138"/>
      <c r="L600" s="138"/>
      <c r="O600" s="138"/>
      <c r="R600" s="138"/>
      <c r="U600" s="138"/>
      <c r="X600" s="138"/>
    </row>
    <row r="601" spans="4:24" ht="12.75" customHeight="1" x14ac:dyDescent="0.25">
      <c r="D601" s="138"/>
      <c r="E601" s="138"/>
      <c r="L601" s="138"/>
      <c r="O601" s="138"/>
      <c r="R601" s="138"/>
      <c r="U601" s="138"/>
      <c r="X601" s="138"/>
    </row>
    <row r="602" spans="4:24" ht="12.75" customHeight="1" x14ac:dyDescent="0.25">
      <c r="D602" s="138"/>
      <c r="E602" s="138"/>
      <c r="L602" s="138"/>
      <c r="O602" s="138"/>
      <c r="R602" s="138"/>
      <c r="U602" s="138"/>
      <c r="X602" s="138"/>
    </row>
    <row r="603" spans="4:24" ht="12.75" customHeight="1" x14ac:dyDescent="0.25">
      <c r="D603" s="138"/>
      <c r="E603" s="138"/>
      <c r="L603" s="138"/>
      <c r="O603" s="138"/>
      <c r="R603" s="138"/>
      <c r="U603" s="138"/>
      <c r="X603" s="138"/>
    </row>
    <row r="604" spans="4:24" ht="12.75" customHeight="1" x14ac:dyDescent="0.25">
      <c r="D604" s="138"/>
      <c r="E604" s="138"/>
      <c r="L604" s="138"/>
      <c r="O604" s="138"/>
      <c r="R604" s="138"/>
      <c r="U604" s="138"/>
      <c r="X604" s="138"/>
    </row>
    <row r="605" spans="4:24" ht="12.75" customHeight="1" x14ac:dyDescent="0.25">
      <c r="D605" s="138"/>
      <c r="E605" s="138"/>
      <c r="L605" s="138"/>
      <c r="O605" s="138"/>
      <c r="R605" s="138"/>
      <c r="U605" s="138"/>
      <c r="X605" s="138"/>
    </row>
    <row r="606" spans="4:24" ht="12.75" customHeight="1" x14ac:dyDescent="0.25">
      <c r="D606" s="138"/>
      <c r="E606" s="138"/>
      <c r="L606" s="138"/>
      <c r="O606" s="138"/>
      <c r="R606" s="138"/>
      <c r="U606" s="138"/>
      <c r="X606" s="138"/>
    </row>
    <row r="607" spans="4:24" ht="12.75" customHeight="1" x14ac:dyDescent="0.25">
      <c r="D607" s="138"/>
      <c r="E607" s="138"/>
      <c r="L607" s="138"/>
      <c r="O607" s="138"/>
      <c r="R607" s="138"/>
      <c r="U607" s="138"/>
      <c r="X607" s="138"/>
    </row>
    <row r="608" spans="4:24" ht="12.75" customHeight="1" x14ac:dyDescent="0.25">
      <c r="D608" s="138"/>
      <c r="E608" s="138"/>
      <c r="L608" s="138"/>
      <c r="O608" s="138"/>
      <c r="R608" s="138"/>
      <c r="U608" s="138"/>
      <c r="X608" s="138"/>
    </row>
    <row r="609" spans="4:24" ht="12.75" customHeight="1" x14ac:dyDescent="0.25">
      <c r="D609" s="138"/>
      <c r="E609" s="138"/>
      <c r="L609" s="138"/>
      <c r="O609" s="138"/>
      <c r="R609" s="138"/>
      <c r="U609" s="138"/>
      <c r="X609" s="138"/>
    </row>
    <row r="610" spans="4:24" ht="12.75" customHeight="1" x14ac:dyDescent="0.25">
      <c r="D610" s="138"/>
      <c r="E610" s="138"/>
      <c r="L610" s="138"/>
      <c r="O610" s="138"/>
      <c r="R610" s="138"/>
      <c r="U610" s="138"/>
      <c r="X610" s="138"/>
    </row>
    <row r="611" spans="4:24" ht="12.75" customHeight="1" x14ac:dyDescent="0.25">
      <c r="D611" s="138"/>
      <c r="E611" s="138"/>
      <c r="L611" s="138"/>
      <c r="O611" s="138"/>
      <c r="R611" s="138"/>
      <c r="U611" s="138"/>
      <c r="X611" s="138"/>
    </row>
    <row r="612" spans="4:24" ht="12.75" customHeight="1" x14ac:dyDescent="0.25">
      <c r="D612" s="138"/>
      <c r="E612" s="138"/>
      <c r="L612" s="138"/>
      <c r="O612" s="138"/>
      <c r="R612" s="138"/>
      <c r="U612" s="138"/>
      <c r="X612" s="138"/>
    </row>
    <row r="613" spans="4:24" ht="12.75" customHeight="1" x14ac:dyDescent="0.25">
      <c r="D613" s="138"/>
      <c r="E613" s="138"/>
      <c r="L613" s="138"/>
      <c r="O613" s="138"/>
      <c r="R613" s="138"/>
      <c r="U613" s="138"/>
      <c r="X613" s="138"/>
    </row>
    <row r="614" spans="4:24" ht="12.75" customHeight="1" x14ac:dyDescent="0.25">
      <c r="D614" s="138"/>
      <c r="E614" s="138"/>
      <c r="L614" s="138"/>
      <c r="O614" s="138"/>
      <c r="R614" s="138"/>
      <c r="U614" s="138"/>
      <c r="X614" s="138"/>
    </row>
    <row r="615" spans="4:24" ht="12.75" customHeight="1" x14ac:dyDescent="0.25">
      <c r="D615" s="138"/>
      <c r="E615" s="138"/>
      <c r="L615" s="138"/>
      <c r="O615" s="138"/>
      <c r="R615" s="138"/>
      <c r="U615" s="138"/>
      <c r="X615" s="138"/>
    </row>
    <row r="616" spans="4:24" ht="12.75" customHeight="1" x14ac:dyDescent="0.25">
      <c r="D616" s="138"/>
      <c r="E616" s="138"/>
      <c r="L616" s="138"/>
      <c r="O616" s="138"/>
      <c r="R616" s="138"/>
      <c r="U616" s="138"/>
      <c r="X616" s="138"/>
    </row>
    <row r="617" spans="4:24" ht="12.75" customHeight="1" x14ac:dyDescent="0.25">
      <c r="D617" s="138"/>
      <c r="E617" s="138"/>
      <c r="L617" s="138"/>
      <c r="O617" s="138"/>
      <c r="R617" s="138"/>
      <c r="U617" s="138"/>
      <c r="X617" s="138"/>
    </row>
    <row r="618" spans="4:24" ht="12.75" customHeight="1" x14ac:dyDescent="0.25">
      <c r="D618" s="138"/>
      <c r="E618" s="138"/>
      <c r="L618" s="138"/>
      <c r="O618" s="138"/>
      <c r="R618" s="138"/>
      <c r="U618" s="138"/>
      <c r="X618" s="138"/>
    </row>
    <row r="619" spans="4:24" ht="12.75" customHeight="1" x14ac:dyDescent="0.25">
      <c r="D619" s="138"/>
      <c r="E619" s="138"/>
      <c r="L619" s="138"/>
      <c r="O619" s="138"/>
      <c r="R619" s="138"/>
      <c r="U619" s="138"/>
      <c r="X619" s="138"/>
    </row>
    <row r="620" spans="4:24" ht="12.75" customHeight="1" x14ac:dyDescent="0.25">
      <c r="D620" s="138"/>
      <c r="E620" s="138"/>
      <c r="L620" s="138"/>
      <c r="O620" s="138"/>
      <c r="R620" s="138"/>
      <c r="U620" s="138"/>
      <c r="X620" s="138"/>
    </row>
    <row r="621" spans="4:24" ht="12.75" customHeight="1" x14ac:dyDescent="0.25">
      <c r="D621" s="138"/>
      <c r="E621" s="138"/>
      <c r="L621" s="138"/>
      <c r="O621" s="138"/>
      <c r="R621" s="138"/>
      <c r="U621" s="138"/>
      <c r="X621" s="138"/>
    </row>
    <row r="622" spans="4:24" ht="12.75" customHeight="1" x14ac:dyDescent="0.25">
      <c r="D622" s="138"/>
      <c r="E622" s="138"/>
      <c r="L622" s="138"/>
      <c r="O622" s="138"/>
      <c r="R622" s="138"/>
      <c r="U622" s="138"/>
      <c r="X622" s="138"/>
    </row>
    <row r="623" spans="4:24" ht="12.75" customHeight="1" x14ac:dyDescent="0.25">
      <c r="D623" s="138"/>
      <c r="E623" s="138"/>
      <c r="L623" s="138"/>
      <c r="O623" s="138"/>
      <c r="R623" s="138"/>
      <c r="U623" s="138"/>
      <c r="X623" s="138"/>
    </row>
    <row r="624" spans="4:24" ht="12.75" customHeight="1" x14ac:dyDescent="0.25">
      <c r="D624" s="138"/>
      <c r="E624" s="138"/>
      <c r="L624" s="138"/>
      <c r="O624" s="138"/>
      <c r="R624" s="138"/>
      <c r="U624" s="138"/>
      <c r="X624" s="138"/>
    </row>
    <row r="625" spans="4:24" ht="12.75" customHeight="1" x14ac:dyDescent="0.25">
      <c r="D625" s="138"/>
      <c r="E625" s="138"/>
      <c r="L625" s="138"/>
      <c r="O625" s="138"/>
      <c r="R625" s="138"/>
      <c r="U625" s="138"/>
      <c r="X625" s="138"/>
    </row>
    <row r="626" spans="4:24" ht="12.75" customHeight="1" x14ac:dyDescent="0.25">
      <c r="D626" s="138"/>
      <c r="E626" s="138"/>
      <c r="L626" s="138"/>
      <c r="O626" s="138"/>
      <c r="R626" s="138"/>
      <c r="U626" s="138"/>
      <c r="X626" s="138"/>
    </row>
    <row r="627" spans="4:24" ht="12.75" customHeight="1" x14ac:dyDescent="0.25">
      <c r="D627" s="138"/>
      <c r="E627" s="138"/>
      <c r="L627" s="138"/>
      <c r="O627" s="138"/>
      <c r="R627" s="138"/>
      <c r="U627" s="138"/>
      <c r="X627" s="138"/>
    </row>
    <row r="628" spans="4:24" ht="12.75" customHeight="1" x14ac:dyDescent="0.25">
      <c r="D628" s="138"/>
      <c r="E628" s="138"/>
      <c r="L628" s="138"/>
      <c r="O628" s="138"/>
      <c r="R628" s="138"/>
      <c r="U628" s="138"/>
      <c r="X628" s="138"/>
    </row>
    <row r="629" spans="4:24" ht="12.75" customHeight="1" x14ac:dyDescent="0.25">
      <c r="D629" s="138"/>
      <c r="E629" s="138"/>
      <c r="L629" s="138"/>
      <c r="O629" s="138"/>
      <c r="R629" s="138"/>
      <c r="U629" s="138"/>
      <c r="X629" s="138"/>
    </row>
    <row r="630" spans="4:24" ht="12.75" customHeight="1" x14ac:dyDescent="0.25">
      <c r="D630" s="138"/>
      <c r="E630" s="138"/>
      <c r="L630" s="138"/>
      <c r="O630" s="138"/>
      <c r="R630" s="138"/>
      <c r="U630" s="138"/>
      <c r="X630" s="138"/>
    </row>
    <row r="631" spans="4:24" ht="12.75" customHeight="1" x14ac:dyDescent="0.25">
      <c r="D631" s="138"/>
      <c r="E631" s="138"/>
      <c r="L631" s="138"/>
      <c r="O631" s="138"/>
      <c r="R631" s="138"/>
      <c r="U631" s="138"/>
      <c r="X631" s="138"/>
    </row>
    <row r="632" spans="4:24" ht="12.75" customHeight="1" x14ac:dyDescent="0.25">
      <c r="D632" s="138"/>
      <c r="E632" s="138"/>
      <c r="L632" s="138"/>
      <c r="O632" s="138"/>
      <c r="R632" s="138"/>
      <c r="U632" s="138"/>
      <c r="X632" s="138"/>
    </row>
    <row r="633" spans="4:24" ht="12.75" customHeight="1" x14ac:dyDescent="0.25">
      <c r="D633" s="138"/>
      <c r="E633" s="138"/>
      <c r="L633" s="138"/>
      <c r="O633" s="138"/>
      <c r="R633" s="138"/>
      <c r="U633" s="138"/>
      <c r="X633" s="138"/>
    </row>
    <row r="634" spans="4:24" ht="12.75" customHeight="1" x14ac:dyDescent="0.25">
      <c r="D634" s="138"/>
      <c r="E634" s="138"/>
      <c r="L634" s="138"/>
      <c r="O634" s="138"/>
      <c r="R634" s="138"/>
      <c r="U634" s="138"/>
      <c r="X634" s="138"/>
    </row>
    <row r="635" spans="4:24" ht="12.75" customHeight="1" x14ac:dyDescent="0.25">
      <c r="D635" s="138"/>
      <c r="E635" s="138"/>
      <c r="L635" s="138"/>
      <c r="O635" s="138"/>
      <c r="R635" s="138"/>
      <c r="U635" s="138"/>
      <c r="X635" s="138"/>
    </row>
    <row r="636" spans="4:24" ht="12.75" customHeight="1" x14ac:dyDescent="0.25">
      <c r="D636" s="138"/>
      <c r="E636" s="138"/>
      <c r="L636" s="138"/>
      <c r="O636" s="138"/>
      <c r="R636" s="138"/>
      <c r="U636" s="138"/>
      <c r="X636" s="138"/>
    </row>
    <row r="637" spans="4:24" ht="12.75" customHeight="1" x14ac:dyDescent="0.25">
      <c r="D637" s="138"/>
      <c r="E637" s="138"/>
      <c r="L637" s="138"/>
      <c r="O637" s="138"/>
      <c r="R637" s="138"/>
      <c r="U637" s="138"/>
      <c r="X637" s="138"/>
    </row>
    <row r="638" spans="4:24" ht="12.75" customHeight="1" x14ac:dyDescent="0.25">
      <c r="D638" s="138"/>
      <c r="E638" s="138"/>
      <c r="L638" s="138"/>
      <c r="O638" s="138"/>
      <c r="R638" s="138"/>
      <c r="U638" s="138"/>
      <c r="X638" s="138"/>
    </row>
    <row r="639" spans="4:24" ht="12.75" customHeight="1" x14ac:dyDescent="0.25">
      <c r="D639" s="138"/>
      <c r="E639" s="138"/>
      <c r="L639" s="138"/>
      <c r="O639" s="138"/>
      <c r="R639" s="138"/>
      <c r="U639" s="138"/>
      <c r="X639" s="138"/>
    </row>
    <row r="640" spans="4:24" ht="12.75" customHeight="1" x14ac:dyDescent="0.25">
      <c r="D640" s="138"/>
      <c r="E640" s="138"/>
      <c r="L640" s="138"/>
      <c r="O640" s="138"/>
      <c r="R640" s="138"/>
      <c r="U640" s="138"/>
      <c r="X640" s="138"/>
    </row>
    <row r="641" spans="4:24" ht="12.75" customHeight="1" x14ac:dyDescent="0.25">
      <c r="D641" s="138"/>
      <c r="E641" s="138"/>
      <c r="L641" s="138"/>
      <c r="O641" s="138"/>
      <c r="R641" s="138"/>
      <c r="U641" s="138"/>
      <c r="X641" s="138"/>
    </row>
    <row r="642" spans="4:24" ht="12.75" customHeight="1" x14ac:dyDescent="0.25">
      <c r="D642" s="138"/>
      <c r="E642" s="138"/>
      <c r="L642" s="138"/>
      <c r="O642" s="138"/>
      <c r="R642" s="138"/>
      <c r="U642" s="138"/>
      <c r="X642" s="138"/>
    </row>
    <row r="643" spans="4:24" ht="12.75" customHeight="1" x14ac:dyDescent="0.25">
      <c r="D643" s="138"/>
      <c r="E643" s="138"/>
      <c r="L643" s="138"/>
      <c r="O643" s="138"/>
      <c r="R643" s="138"/>
      <c r="U643" s="138"/>
      <c r="X643" s="138"/>
    </row>
    <row r="644" spans="4:24" ht="12.75" customHeight="1" x14ac:dyDescent="0.25">
      <c r="D644" s="138"/>
      <c r="E644" s="138"/>
      <c r="L644" s="138"/>
      <c r="O644" s="138"/>
      <c r="R644" s="138"/>
      <c r="U644" s="138"/>
      <c r="X644" s="138"/>
    </row>
    <row r="645" spans="4:24" ht="12.75" customHeight="1" x14ac:dyDescent="0.25">
      <c r="D645" s="138"/>
      <c r="E645" s="138"/>
      <c r="L645" s="138"/>
      <c r="O645" s="138"/>
      <c r="R645" s="138"/>
      <c r="U645" s="138"/>
      <c r="X645" s="138"/>
    </row>
    <row r="646" spans="4:24" ht="12.75" customHeight="1" x14ac:dyDescent="0.25">
      <c r="D646" s="138"/>
      <c r="E646" s="138"/>
      <c r="L646" s="138"/>
      <c r="O646" s="138"/>
      <c r="R646" s="138"/>
      <c r="U646" s="138"/>
      <c r="X646" s="138"/>
    </row>
    <row r="647" spans="4:24" ht="12.75" customHeight="1" x14ac:dyDescent="0.25">
      <c r="D647" s="138"/>
      <c r="E647" s="138"/>
      <c r="L647" s="138"/>
      <c r="O647" s="138"/>
      <c r="R647" s="138"/>
      <c r="U647" s="138"/>
      <c r="X647" s="138"/>
    </row>
    <row r="648" spans="4:24" ht="12.75" customHeight="1" x14ac:dyDescent="0.25">
      <c r="D648" s="138"/>
      <c r="E648" s="138"/>
      <c r="L648" s="138"/>
      <c r="O648" s="138"/>
      <c r="R648" s="138"/>
      <c r="U648" s="138"/>
      <c r="X648" s="138"/>
    </row>
    <row r="649" spans="4:24" ht="12.75" customHeight="1" x14ac:dyDescent="0.25">
      <c r="D649" s="138"/>
      <c r="E649" s="138"/>
      <c r="L649" s="138"/>
      <c r="O649" s="138"/>
      <c r="R649" s="138"/>
      <c r="U649" s="138"/>
      <c r="X649" s="138"/>
    </row>
    <row r="650" spans="4:24" ht="12.75" customHeight="1" x14ac:dyDescent="0.25">
      <c r="D650" s="138"/>
      <c r="E650" s="138"/>
      <c r="L650" s="138"/>
      <c r="O650" s="138"/>
      <c r="R650" s="138"/>
      <c r="U650" s="138"/>
      <c r="X650" s="138"/>
    </row>
    <row r="651" spans="4:24" ht="12.75" customHeight="1" x14ac:dyDescent="0.25">
      <c r="D651" s="138"/>
      <c r="E651" s="138"/>
      <c r="L651" s="138"/>
      <c r="O651" s="138"/>
      <c r="R651" s="138"/>
      <c r="U651" s="138"/>
      <c r="X651" s="138"/>
    </row>
    <row r="652" spans="4:24" ht="12.75" customHeight="1" x14ac:dyDescent="0.25">
      <c r="D652" s="138"/>
      <c r="E652" s="138"/>
      <c r="L652" s="138"/>
      <c r="O652" s="138"/>
      <c r="R652" s="138"/>
      <c r="U652" s="138"/>
      <c r="X652" s="138"/>
    </row>
    <row r="653" spans="4:24" ht="12.75" customHeight="1" x14ac:dyDescent="0.25">
      <c r="D653" s="138"/>
      <c r="E653" s="138"/>
      <c r="L653" s="138"/>
      <c r="O653" s="138"/>
      <c r="R653" s="138"/>
      <c r="U653" s="138"/>
      <c r="X653" s="138"/>
    </row>
    <row r="654" spans="4:24" ht="12.75" customHeight="1" x14ac:dyDescent="0.25">
      <c r="D654" s="138"/>
      <c r="E654" s="138"/>
      <c r="L654" s="138"/>
      <c r="O654" s="138"/>
      <c r="R654" s="138"/>
      <c r="U654" s="138"/>
      <c r="X654" s="138"/>
    </row>
    <row r="655" spans="4:24" ht="12.75" customHeight="1" x14ac:dyDescent="0.25">
      <c r="D655" s="138"/>
      <c r="E655" s="138"/>
      <c r="L655" s="138"/>
      <c r="O655" s="138"/>
      <c r="R655" s="138"/>
      <c r="U655" s="138"/>
      <c r="X655" s="138"/>
    </row>
    <row r="656" spans="4:24" ht="12.75" customHeight="1" x14ac:dyDescent="0.25">
      <c r="D656" s="138"/>
      <c r="E656" s="138"/>
      <c r="L656" s="138"/>
      <c r="O656" s="138"/>
      <c r="R656" s="138"/>
      <c r="U656" s="138"/>
      <c r="X656" s="138"/>
    </row>
    <row r="657" spans="4:24" ht="12.75" customHeight="1" x14ac:dyDescent="0.25">
      <c r="D657" s="138"/>
      <c r="E657" s="138"/>
      <c r="L657" s="138"/>
      <c r="O657" s="138"/>
      <c r="R657" s="138"/>
      <c r="U657" s="138"/>
      <c r="X657" s="138"/>
    </row>
    <row r="658" spans="4:24" ht="12.75" customHeight="1" x14ac:dyDescent="0.25">
      <c r="D658" s="138"/>
      <c r="E658" s="138"/>
      <c r="L658" s="138"/>
      <c r="O658" s="138"/>
      <c r="R658" s="138"/>
      <c r="U658" s="138"/>
      <c r="X658" s="138"/>
    </row>
    <row r="659" spans="4:24" ht="12.75" customHeight="1" x14ac:dyDescent="0.25">
      <c r="D659" s="138"/>
      <c r="E659" s="138"/>
      <c r="L659" s="138"/>
      <c r="O659" s="138"/>
      <c r="R659" s="138"/>
      <c r="U659" s="138"/>
      <c r="X659" s="138"/>
    </row>
    <row r="660" spans="4:24" ht="12.75" customHeight="1" x14ac:dyDescent="0.25">
      <c r="D660" s="138"/>
      <c r="E660" s="138"/>
      <c r="L660" s="138"/>
      <c r="O660" s="138"/>
      <c r="R660" s="138"/>
      <c r="U660" s="138"/>
      <c r="X660" s="138"/>
    </row>
    <row r="661" spans="4:24" ht="12.75" customHeight="1" x14ac:dyDescent="0.25">
      <c r="D661" s="138"/>
      <c r="E661" s="138"/>
      <c r="L661" s="138"/>
      <c r="O661" s="138"/>
      <c r="R661" s="138"/>
      <c r="U661" s="138"/>
      <c r="X661" s="138"/>
    </row>
    <row r="662" spans="4:24" ht="12.75" customHeight="1" x14ac:dyDescent="0.25">
      <c r="D662" s="138"/>
      <c r="E662" s="138"/>
      <c r="L662" s="138"/>
      <c r="O662" s="138"/>
      <c r="R662" s="138"/>
      <c r="U662" s="138"/>
      <c r="X662" s="138"/>
    </row>
    <row r="663" spans="4:24" ht="12.75" customHeight="1" x14ac:dyDescent="0.25">
      <c r="D663" s="138"/>
      <c r="E663" s="138"/>
      <c r="L663" s="138"/>
      <c r="O663" s="138"/>
      <c r="R663" s="138"/>
      <c r="U663" s="138"/>
      <c r="X663" s="138"/>
    </row>
    <row r="664" spans="4:24" ht="12.75" customHeight="1" x14ac:dyDescent="0.25">
      <c r="D664" s="138"/>
      <c r="E664" s="138"/>
      <c r="L664" s="138"/>
      <c r="O664" s="138"/>
      <c r="R664" s="138"/>
      <c r="U664" s="138"/>
      <c r="X664" s="138"/>
    </row>
    <row r="665" spans="4:24" ht="12.75" customHeight="1" x14ac:dyDescent="0.25">
      <c r="D665" s="138"/>
      <c r="E665" s="138"/>
      <c r="L665" s="138"/>
      <c r="O665" s="138"/>
      <c r="R665" s="138"/>
      <c r="U665" s="138"/>
      <c r="X665" s="138"/>
    </row>
    <row r="666" spans="4:24" ht="12.75" customHeight="1" x14ac:dyDescent="0.25">
      <c r="D666" s="138"/>
      <c r="E666" s="138"/>
      <c r="L666" s="138"/>
      <c r="O666" s="138"/>
      <c r="R666" s="138"/>
      <c r="U666" s="138"/>
      <c r="X666" s="138"/>
    </row>
    <row r="667" spans="4:24" ht="12.75" customHeight="1" x14ac:dyDescent="0.25">
      <c r="D667" s="138"/>
      <c r="E667" s="138"/>
      <c r="L667" s="138"/>
      <c r="O667" s="138"/>
      <c r="R667" s="138"/>
      <c r="U667" s="138"/>
      <c r="X667" s="138"/>
    </row>
    <row r="668" spans="4:24" ht="12.75" customHeight="1" x14ac:dyDescent="0.25">
      <c r="D668" s="138"/>
      <c r="E668" s="138"/>
      <c r="L668" s="138"/>
      <c r="O668" s="138"/>
      <c r="R668" s="138"/>
      <c r="U668" s="138"/>
      <c r="X668" s="138"/>
    </row>
    <row r="669" spans="4:24" ht="12.75" customHeight="1" x14ac:dyDescent="0.25">
      <c r="D669" s="138"/>
      <c r="E669" s="138"/>
      <c r="L669" s="138"/>
      <c r="O669" s="138"/>
      <c r="R669" s="138"/>
      <c r="U669" s="138"/>
      <c r="X669" s="138"/>
    </row>
    <row r="670" spans="4:24" ht="12.75" customHeight="1" x14ac:dyDescent="0.25">
      <c r="D670" s="138"/>
      <c r="E670" s="138"/>
      <c r="L670" s="138"/>
      <c r="O670" s="138"/>
      <c r="R670" s="138"/>
      <c r="U670" s="138"/>
      <c r="X670" s="138"/>
    </row>
    <row r="671" spans="4:24" ht="12.75" customHeight="1" x14ac:dyDescent="0.25">
      <c r="D671" s="138"/>
      <c r="E671" s="138"/>
      <c r="L671" s="138"/>
      <c r="O671" s="138"/>
      <c r="R671" s="138"/>
      <c r="U671" s="138"/>
      <c r="X671" s="138"/>
    </row>
    <row r="672" spans="4:24" ht="12.75" customHeight="1" x14ac:dyDescent="0.25">
      <c r="D672" s="138"/>
      <c r="E672" s="138"/>
      <c r="L672" s="138"/>
      <c r="O672" s="138"/>
      <c r="R672" s="138"/>
      <c r="U672" s="138"/>
      <c r="X672" s="138"/>
    </row>
    <row r="673" spans="4:24" ht="12.75" customHeight="1" x14ac:dyDescent="0.25">
      <c r="D673" s="138"/>
      <c r="E673" s="138"/>
      <c r="L673" s="138"/>
      <c r="O673" s="138"/>
      <c r="R673" s="138"/>
      <c r="U673" s="138"/>
      <c r="X673" s="138"/>
    </row>
    <row r="674" spans="4:24" ht="12.75" customHeight="1" x14ac:dyDescent="0.25">
      <c r="D674" s="138"/>
      <c r="E674" s="138"/>
      <c r="L674" s="138"/>
      <c r="O674" s="138"/>
      <c r="R674" s="138"/>
      <c r="U674" s="138"/>
      <c r="X674" s="138"/>
    </row>
    <row r="675" spans="4:24" ht="12.75" customHeight="1" x14ac:dyDescent="0.25">
      <c r="D675" s="138"/>
      <c r="E675" s="138"/>
      <c r="L675" s="138"/>
      <c r="O675" s="138"/>
      <c r="R675" s="138"/>
      <c r="U675" s="138"/>
      <c r="X675" s="138"/>
    </row>
    <row r="676" spans="4:24" ht="12.75" customHeight="1" x14ac:dyDescent="0.25">
      <c r="D676" s="138"/>
      <c r="E676" s="138"/>
      <c r="L676" s="138"/>
      <c r="O676" s="138"/>
      <c r="R676" s="138"/>
      <c r="U676" s="138"/>
      <c r="X676" s="138"/>
    </row>
    <row r="677" spans="4:24" ht="12.75" customHeight="1" x14ac:dyDescent="0.25">
      <c r="D677" s="138"/>
      <c r="E677" s="138"/>
      <c r="L677" s="138"/>
      <c r="O677" s="138"/>
      <c r="R677" s="138"/>
      <c r="U677" s="138"/>
      <c r="X677" s="138"/>
    </row>
    <row r="678" spans="4:24" ht="12.75" customHeight="1" x14ac:dyDescent="0.25">
      <c r="D678" s="138"/>
      <c r="E678" s="138"/>
      <c r="L678" s="138"/>
      <c r="O678" s="138"/>
      <c r="R678" s="138"/>
      <c r="U678" s="138"/>
      <c r="X678" s="138"/>
    </row>
    <row r="679" spans="4:24" ht="12.75" customHeight="1" x14ac:dyDescent="0.25">
      <c r="D679" s="138"/>
      <c r="E679" s="138"/>
      <c r="L679" s="138"/>
      <c r="O679" s="138"/>
      <c r="R679" s="138"/>
      <c r="U679" s="138"/>
      <c r="X679" s="138"/>
    </row>
    <row r="680" spans="4:24" ht="12.75" customHeight="1" x14ac:dyDescent="0.25">
      <c r="D680" s="138"/>
      <c r="E680" s="138"/>
      <c r="L680" s="138"/>
      <c r="O680" s="138"/>
      <c r="R680" s="138"/>
      <c r="U680" s="138"/>
      <c r="X680" s="138"/>
    </row>
    <row r="681" spans="4:24" ht="12.75" customHeight="1" x14ac:dyDescent="0.25">
      <c r="D681" s="138"/>
      <c r="E681" s="138"/>
      <c r="L681" s="138"/>
      <c r="O681" s="138"/>
      <c r="R681" s="138"/>
      <c r="U681" s="138"/>
      <c r="X681" s="138"/>
    </row>
    <row r="682" spans="4:24" ht="12.75" customHeight="1" x14ac:dyDescent="0.25">
      <c r="D682" s="138"/>
      <c r="E682" s="138"/>
      <c r="L682" s="138"/>
      <c r="O682" s="138"/>
      <c r="R682" s="138"/>
      <c r="U682" s="138"/>
      <c r="X682" s="138"/>
    </row>
    <row r="683" spans="4:24" ht="12.75" customHeight="1" x14ac:dyDescent="0.25">
      <c r="D683" s="138"/>
      <c r="E683" s="138"/>
      <c r="L683" s="138"/>
      <c r="O683" s="138"/>
      <c r="R683" s="138"/>
      <c r="U683" s="138"/>
      <c r="X683" s="138"/>
    </row>
    <row r="684" spans="4:24" ht="12.75" customHeight="1" x14ac:dyDescent="0.25">
      <c r="D684" s="138"/>
      <c r="E684" s="138"/>
      <c r="L684" s="138"/>
      <c r="O684" s="138"/>
      <c r="R684" s="138"/>
      <c r="U684" s="138"/>
      <c r="X684" s="138"/>
    </row>
    <row r="685" spans="4:24" ht="12.75" customHeight="1" x14ac:dyDescent="0.25">
      <c r="D685" s="138"/>
      <c r="E685" s="138"/>
      <c r="L685" s="138"/>
      <c r="O685" s="138"/>
      <c r="R685" s="138"/>
      <c r="U685" s="138"/>
      <c r="X685" s="138"/>
    </row>
    <row r="686" spans="4:24" ht="12.75" customHeight="1" x14ac:dyDescent="0.25">
      <c r="D686" s="138"/>
      <c r="E686" s="138"/>
      <c r="L686" s="138"/>
      <c r="O686" s="138"/>
      <c r="R686" s="138"/>
      <c r="U686" s="138"/>
      <c r="X686" s="138"/>
    </row>
    <row r="687" spans="4:24" ht="12.75" customHeight="1" x14ac:dyDescent="0.25">
      <c r="D687" s="138"/>
      <c r="E687" s="138"/>
      <c r="L687" s="138"/>
      <c r="O687" s="138"/>
      <c r="R687" s="138"/>
      <c r="U687" s="138"/>
      <c r="X687" s="138"/>
    </row>
    <row r="688" spans="4:24" ht="12.75" customHeight="1" x14ac:dyDescent="0.25">
      <c r="D688" s="138"/>
      <c r="E688" s="138"/>
      <c r="L688" s="138"/>
      <c r="O688" s="138"/>
      <c r="R688" s="138"/>
      <c r="U688" s="138"/>
      <c r="X688" s="138"/>
    </row>
    <row r="689" spans="4:24" ht="12.75" customHeight="1" x14ac:dyDescent="0.25">
      <c r="D689" s="138"/>
      <c r="E689" s="138"/>
      <c r="L689" s="138"/>
      <c r="O689" s="138"/>
      <c r="R689" s="138"/>
      <c r="U689" s="138"/>
      <c r="X689" s="138"/>
    </row>
    <row r="690" spans="4:24" ht="12.75" customHeight="1" x14ac:dyDescent="0.25">
      <c r="D690" s="138"/>
      <c r="E690" s="138"/>
      <c r="L690" s="138"/>
      <c r="O690" s="138"/>
      <c r="R690" s="138"/>
      <c r="U690" s="138"/>
      <c r="X690" s="138"/>
    </row>
    <row r="691" spans="4:24" ht="12.75" customHeight="1" x14ac:dyDescent="0.25">
      <c r="D691" s="138"/>
      <c r="E691" s="138"/>
      <c r="L691" s="138"/>
      <c r="O691" s="138"/>
      <c r="R691" s="138"/>
      <c r="U691" s="138"/>
      <c r="X691" s="138"/>
    </row>
    <row r="692" spans="4:24" ht="12.75" customHeight="1" x14ac:dyDescent="0.25">
      <c r="D692" s="138"/>
      <c r="E692" s="138"/>
      <c r="L692" s="138"/>
      <c r="O692" s="138"/>
      <c r="R692" s="138"/>
      <c r="U692" s="138"/>
      <c r="X692" s="138"/>
    </row>
    <row r="693" spans="4:24" ht="12.75" customHeight="1" x14ac:dyDescent="0.25">
      <c r="D693" s="138"/>
      <c r="E693" s="138"/>
      <c r="L693" s="138"/>
      <c r="O693" s="138"/>
      <c r="R693" s="138"/>
      <c r="U693" s="138"/>
      <c r="X693" s="138"/>
    </row>
    <row r="694" spans="4:24" ht="12.75" customHeight="1" x14ac:dyDescent="0.25">
      <c r="D694" s="138"/>
      <c r="E694" s="138"/>
      <c r="L694" s="138"/>
      <c r="O694" s="138"/>
      <c r="R694" s="138"/>
      <c r="U694" s="138"/>
      <c r="X694" s="138"/>
    </row>
    <row r="695" spans="4:24" ht="12.75" customHeight="1" x14ac:dyDescent="0.25">
      <c r="D695" s="138"/>
      <c r="E695" s="138"/>
      <c r="L695" s="138"/>
      <c r="O695" s="138"/>
      <c r="R695" s="138"/>
      <c r="U695" s="138"/>
      <c r="X695" s="138"/>
    </row>
    <row r="696" spans="4:24" ht="12.75" customHeight="1" x14ac:dyDescent="0.25">
      <c r="D696" s="138"/>
      <c r="E696" s="138"/>
      <c r="L696" s="138"/>
      <c r="O696" s="138"/>
      <c r="R696" s="138"/>
      <c r="U696" s="138"/>
      <c r="X696" s="138"/>
    </row>
    <row r="697" spans="4:24" ht="12.75" customHeight="1" x14ac:dyDescent="0.25">
      <c r="D697" s="138"/>
      <c r="E697" s="138"/>
      <c r="L697" s="138"/>
      <c r="O697" s="138"/>
      <c r="R697" s="138"/>
      <c r="U697" s="138"/>
      <c r="X697" s="138"/>
    </row>
    <row r="698" spans="4:24" ht="12.75" customHeight="1" x14ac:dyDescent="0.25">
      <c r="D698" s="138"/>
      <c r="E698" s="138"/>
      <c r="L698" s="138"/>
      <c r="O698" s="138"/>
      <c r="R698" s="138"/>
      <c r="U698" s="138"/>
      <c r="X698" s="138"/>
    </row>
    <row r="699" spans="4:24" ht="12.75" customHeight="1" x14ac:dyDescent="0.25">
      <c r="D699" s="138"/>
      <c r="E699" s="138"/>
      <c r="L699" s="138"/>
      <c r="O699" s="138"/>
      <c r="R699" s="138"/>
      <c r="U699" s="138"/>
      <c r="X699" s="138"/>
    </row>
    <row r="700" spans="4:24" ht="12.75" customHeight="1" x14ac:dyDescent="0.25">
      <c r="D700" s="138"/>
      <c r="E700" s="138"/>
      <c r="L700" s="138"/>
      <c r="O700" s="138"/>
      <c r="R700" s="138"/>
      <c r="U700" s="138"/>
      <c r="X700" s="138"/>
    </row>
    <row r="701" spans="4:24" ht="12.75" customHeight="1" x14ac:dyDescent="0.25">
      <c r="D701" s="138"/>
      <c r="E701" s="138"/>
      <c r="L701" s="138"/>
      <c r="O701" s="138"/>
      <c r="R701" s="138"/>
      <c r="U701" s="138"/>
      <c r="X701" s="138"/>
    </row>
    <row r="702" spans="4:24" ht="12.75" customHeight="1" x14ac:dyDescent="0.25">
      <c r="D702" s="138"/>
      <c r="E702" s="138"/>
      <c r="L702" s="138"/>
      <c r="O702" s="138"/>
      <c r="R702" s="138"/>
      <c r="U702" s="138"/>
      <c r="X702" s="138"/>
    </row>
    <row r="703" spans="4:24" ht="12.75" customHeight="1" x14ac:dyDescent="0.25">
      <c r="D703" s="138"/>
      <c r="E703" s="138"/>
      <c r="L703" s="138"/>
      <c r="O703" s="138"/>
      <c r="R703" s="138"/>
      <c r="U703" s="138"/>
      <c r="X703" s="138"/>
    </row>
    <row r="704" spans="4:24" ht="12.75" customHeight="1" x14ac:dyDescent="0.25">
      <c r="D704" s="138"/>
      <c r="E704" s="138"/>
      <c r="L704" s="138"/>
      <c r="O704" s="138"/>
      <c r="R704" s="138"/>
      <c r="U704" s="138"/>
      <c r="X704" s="138"/>
    </row>
    <row r="705" spans="4:24" ht="12.75" customHeight="1" x14ac:dyDescent="0.25">
      <c r="D705" s="138"/>
      <c r="E705" s="138"/>
      <c r="L705" s="138"/>
      <c r="O705" s="138"/>
      <c r="R705" s="138"/>
      <c r="U705" s="138"/>
      <c r="X705" s="138"/>
    </row>
    <row r="706" spans="4:24" ht="12.75" customHeight="1" x14ac:dyDescent="0.25">
      <c r="D706" s="138"/>
      <c r="E706" s="138"/>
      <c r="L706" s="138"/>
      <c r="O706" s="138"/>
      <c r="R706" s="138"/>
      <c r="U706" s="138"/>
      <c r="X706" s="138"/>
    </row>
    <row r="707" spans="4:24" ht="12.75" customHeight="1" x14ac:dyDescent="0.25">
      <c r="D707" s="138"/>
      <c r="E707" s="138"/>
      <c r="L707" s="138"/>
      <c r="O707" s="138"/>
      <c r="R707" s="138"/>
      <c r="U707" s="138"/>
      <c r="X707" s="138"/>
    </row>
    <row r="708" spans="4:24" ht="12.75" customHeight="1" x14ac:dyDescent="0.25">
      <c r="D708" s="138"/>
      <c r="E708" s="138"/>
      <c r="L708" s="138"/>
      <c r="O708" s="138"/>
      <c r="R708" s="138"/>
      <c r="U708" s="138"/>
      <c r="X708" s="138"/>
    </row>
    <row r="709" spans="4:24" ht="12.75" customHeight="1" x14ac:dyDescent="0.25">
      <c r="D709" s="138"/>
      <c r="E709" s="138"/>
      <c r="L709" s="138"/>
      <c r="O709" s="138"/>
      <c r="R709" s="138"/>
      <c r="U709" s="138"/>
      <c r="X709" s="138"/>
    </row>
    <row r="710" spans="4:24" ht="12.75" customHeight="1" x14ac:dyDescent="0.25">
      <c r="D710" s="138"/>
      <c r="E710" s="138"/>
      <c r="L710" s="138"/>
      <c r="O710" s="138"/>
      <c r="R710" s="138"/>
      <c r="U710" s="138"/>
      <c r="X710" s="138"/>
    </row>
    <row r="711" spans="4:24" ht="12.75" customHeight="1" x14ac:dyDescent="0.25">
      <c r="D711" s="138"/>
      <c r="E711" s="138"/>
      <c r="L711" s="138"/>
      <c r="O711" s="138"/>
      <c r="R711" s="138"/>
      <c r="U711" s="138"/>
      <c r="X711" s="138"/>
    </row>
    <row r="712" spans="4:24" ht="12.75" customHeight="1" x14ac:dyDescent="0.25">
      <c r="D712" s="138"/>
      <c r="E712" s="138"/>
      <c r="L712" s="138"/>
      <c r="O712" s="138"/>
      <c r="R712" s="138"/>
      <c r="U712" s="138"/>
      <c r="X712" s="138"/>
    </row>
    <row r="713" spans="4:24" ht="12.75" customHeight="1" x14ac:dyDescent="0.25">
      <c r="D713" s="138"/>
      <c r="E713" s="138"/>
      <c r="L713" s="138"/>
      <c r="O713" s="138"/>
      <c r="R713" s="138"/>
      <c r="U713" s="138"/>
      <c r="X713" s="138"/>
    </row>
    <row r="714" spans="4:24" ht="12.75" customHeight="1" x14ac:dyDescent="0.25">
      <c r="D714" s="138"/>
      <c r="E714" s="138"/>
      <c r="L714" s="138"/>
      <c r="O714" s="138"/>
      <c r="R714" s="138"/>
      <c r="U714" s="138"/>
      <c r="X714" s="138"/>
    </row>
    <row r="715" spans="4:24" ht="12.75" customHeight="1" x14ac:dyDescent="0.25">
      <c r="D715" s="138"/>
      <c r="E715" s="138"/>
      <c r="L715" s="138"/>
      <c r="O715" s="138"/>
      <c r="R715" s="138"/>
      <c r="U715" s="138"/>
      <c r="X715" s="138"/>
    </row>
    <row r="716" spans="4:24" ht="12.75" customHeight="1" x14ac:dyDescent="0.25">
      <c r="D716" s="138"/>
      <c r="E716" s="138"/>
      <c r="L716" s="138"/>
      <c r="O716" s="138"/>
      <c r="R716" s="138"/>
      <c r="U716" s="138"/>
      <c r="X716" s="138"/>
    </row>
    <row r="717" spans="4:24" ht="12.75" customHeight="1" x14ac:dyDescent="0.25">
      <c r="D717" s="138"/>
      <c r="E717" s="138"/>
      <c r="L717" s="138"/>
      <c r="O717" s="138"/>
      <c r="R717" s="138"/>
      <c r="U717" s="138"/>
      <c r="X717" s="138"/>
    </row>
    <row r="718" spans="4:24" ht="12.75" customHeight="1" x14ac:dyDescent="0.25">
      <c r="D718" s="138"/>
      <c r="E718" s="138"/>
      <c r="L718" s="138"/>
      <c r="O718" s="138"/>
      <c r="R718" s="138"/>
      <c r="U718" s="138"/>
      <c r="X718" s="138"/>
    </row>
    <row r="719" spans="4:24" ht="12.75" customHeight="1" x14ac:dyDescent="0.25">
      <c r="D719" s="138"/>
      <c r="E719" s="138"/>
      <c r="L719" s="138"/>
      <c r="O719" s="138"/>
      <c r="R719" s="138"/>
      <c r="U719" s="138"/>
      <c r="X719" s="138"/>
    </row>
    <row r="720" spans="4:24" ht="12.75" customHeight="1" x14ac:dyDescent="0.25">
      <c r="D720" s="138"/>
      <c r="E720" s="138"/>
      <c r="L720" s="138"/>
      <c r="O720" s="138"/>
      <c r="R720" s="138"/>
      <c r="U720" s="138"/>
      <c r="X720" s="138"/>
    </row>
    <row r="721" spans="4:24" ht="12.75" customHeight="1" x14ac:dyDescent="0.25">
      <c r="D721" s="138"/>
      <c r="E721" s="138"/>
      <c r="L721" s="138"/>
      <c r="O721" s="138"/>
      <c r="R721" s="138"/>
      <c r="U721" s="138"/>
      <c r="X721" s="138"/>
    </row>
    <row r="722" spans="4:24" ht="12.75" customHeight="1" x14ac:dyDescent="0.25">
      <c r="D722" s="138"/>
      <c r="E722" s="138"/>
      <c r="L722" s="138"/>
      <c r="O722" s="138"/>
      <c r="R722" s="138"/>
      <c r="U722" s="138"/>
      <c r="X722" s="138"/>
    </row>
    <row r="723" spans="4:24" ht="12.75" customHeight="1" x14ac:dyDescent="0.25">
      <c r="D723" s="138"/>
      <c r="E723" s="138"/>
      <c r="L723" s="138"/>
      <c r="O723" s="138"/>
      <c r="R723" s="138"/>
      <c r="U723" s="138"/>
      <c r="X723" s="138"/>
    </row>
    <row r="724" spans="4:24" ht="12.75" customHeight="1" x14ac:dyDescent="0.25">
      <c r="D724" s="138"/>
      <c r="E724" s="138"/>
      <c r="L724" s="138"/>
      <c r="O724" s="138"/>
      <c r="R724" s="138"/>
      <c r="U724" s="138"/>
      <c r="X724" s="138"/>
    </row>
    <row r="725" spans="4:24" ht="12.75" customHeight="1" x14ac:dyDescent="0.25">
      <c r="D725" s="138"/>
      <c r="E725" s="138"/>
      <c r="L725" s="138"/>
      <c r="O725" s="138"/>
      <c r="R725" s="138"/>
      <c r="U725" s="138"/>
      <c r="X725" s="138"/>
    </row>
    <row r="726" spans="4:24" ht="12.75" customHeight="1" x14ac:dyDescent="0.25">
      <c r="D726" s="138"/>
      <c r="E726" s="138"/>
      <c r="L726" s="138"/>
      <c r="O726" s="138"/>
      <c r="R726" s="138"/>
      <c r="U726" s="138"/>
      <c r="X726" s="138"/>
    </row>
    <row r="727" spans="4:24" ht="12.75" customHeight="1" x14ac:dyDescent="0.25">
      <c r="D727" s="138"/>
      <c r="E727" s="138"/>
      <c r="L727" s="138"/>
      <c r="O727" s="138"/>
      <c r="R727" s="138"/>
      <c r="U727" s="138"/>
      <c r="X727" s="138"/>
    </row>
    <row r="728" spans="4:24" ht="12.75" customHeight="1" x14ac:dyDescent="0.25">
      <c r="D728" s="138"/>
      <c r="E728" s="138"/>
      <c r="L728" s="138"/>
      <c r="O728" s="138"/>
      <c r="R728" s="138"/>
      <c r="U728" s="138"/>
      <c r="X728" s="138"/>
    </row>
    <row r="729" spans="4:24" ht="12.75" customHeight="1" x14ac:dyDescent="0.25">
      <c r="D729" s="138"/>
      <c r="E729" s="138"/>
      <c r="L729" s="138"/>
      <c r="O729" s="138"/>
      <c r="R729" s="138"/>
      <c r="U729" s="138"/>
      <c r="X729" s="138"/>
    </row>
    <row r="730" spans="4:24" ht="12.75" customHeight="1" x14ac:dyDescent="0.25">
      <c r="D730" s="138"/>
      <c r="E730" s="138"/>
      <c r="L730" s="138"/>
      <c r="O730" s="138"/>
      <c r="R730" s="138"/>
      <c r="U730" s="138"/>
      <c r="X730" s="138"/>
    </row>
    <row r="731" spans="4:24" ht="12.75" customHeight="1" x14ac:dyDescent="0.25">
      <c r="D731" s="138"/>
      <c r="E731" s="138"/>
      <c r="L731" s="138"/>
      <c r="O731" s="138"/>
      <c r="R731" s="138"/>
      <c r="U731" s="138"/>
      <c r="X731" s="138"/>
    </row>
    <row r="732" spans="4:24" ht="12.75" customHeight="1" x14ac:dyDescent="0.25">
      <c r="D732" s="138"/>
      <c r="E732" s="138"/>
      <c r="L732" s="138"/>
      <c r="O732" s="138"/>
      <c r="R732" s="138"/>
      <c r="U732" s="138"/>
      <c r="X732" s="138"/>
    </row>
    <row r="733" spans="4:24" ht="12.75" customHeight="1" x14ac:dyDescent="0.25">
      <c r="D733" s="138"/>
      <c r="E733" s="138"/>
      <c r="L733" s="138"/>
      <c r="O733" s="138"/>
      <c r="R733" s="138"/>
      <c r="U733" s="138"/>
      <c r="X733" s="138"/>
    </row>
    <row r="734" spans="4:24" ht="12.75" customHeight="1" x14ac:dyDescent="0.25">
      <c r="D734" s="138"/>
      <c r="E734" s="138"/>
      <c r="L734" s="138"/>
      <c r="O734" s="138"/>
      <c r="R734" s="138"/>
      <c r="U734" s="138"/>
      <c r="X734" s="138"/>
    </row>
    <row r="735" spans="4:24" ht="12.75" customHeight="1" x14ac:dyDescent="0.25">
      <c r="D735" s="138"/>
      <c r="E735" s="138"/>
      <c r="L735" s="138"/>
      <c r="O735" s="138"/>
      <c r="R735" s="138"/>
      <c r="U735" s="138"/>
      <c r="X735" s="138"/>
    </row>
    <row r="736" spans="4:24" ht="12.75" customHeight="1" x14ac:dyDescent="0.25">
      <c r="D736" s="138"/>
      <c r="E736" s="138"/>
      <c r="L736" s="138"/>
      <c r="O736" s="138"/>
      <c r="R736" s="138"/>
      <c r="U736" s="138"/>
      <c r="X736" s="138"/>
    </row>
    <row r="737" spans="4:24" ht="12.75" customHeight="1" x14ac:dyDescent="0.25">
      <c r="D737" s="138"/>
      <c r="E737" s="138"/>
      <c r="L737" s="138"/>
      <c r="O737" s="138"/>
      <c r="R737" s="138"/>
      <c r="U737" s="138"/>
      <c r="X737" s="138"/>
    </row>
    <row r="738" spans="4:24" ht="12.75" customHeight="1" x14ac:dyDescent="0.25">
      <c r="D738" s="138"/>
      <c r="E738" s="138"/>
      <c r="L738" s="138"/>
      <c r="O738" s="138"/>
      <c r="R738" s="138"/>
      <c r="U738" s="138"/>
      <c r="X738" s="138"/>
    </row>
    <row r="739" spans="4:24" ht="12.75" customHeight="1" x14ac:dyDescent="0.25">
      <c r="D739" s="138"/>
      <c r="E739" s="138"/>
      <c r="L739" s="138"/>
      <c r="O739" s="138"/>
      <c r="R739" s="138"/>
      <c r="U739" s="138"/>
      <c r="X739" s="138"/>
    </row>
    <row r="740" spans="4:24" ht="12.75" customHeight="1" x14ac:dyDescent="0.25">
      <c r="D740" s="138"/>
      <c r="E740" s="138"/>
      <c r="L740" s="138"/>
      <c r="O740" s="138"/>
      <c r="R740" s="138"/>
      <c r="U740" s="138"/>
      <c r="X740" s="138"/>
    </row>
    <row r="741" spans="4:24" ht="12.75" customHeight="1" x14ac:dyDescent="0.25">
      <c r="D741" s="138"/>
      <c r="E741" s="138"/>
      <c r="L741" s="138"/>
      <c r="O741" s="138"/>
      <c r="R741" s="138"/>
      <c r="U741" s="138"/>
      <c r="X741" s="138"/>
    </row>
    <row r="742" spans="4:24" ht="12.75" customHeight="1" x14ac:dyDescent="0.25">
      <c r="D742" s="138"/>
      <c r="E742" s="138"/>
      <c r="L742" s="138"/>
      <c r="O742" s="138"/>
      <c r="R742" s="138"/>
      <c r="U742" s="138"/>
      <c r="X742" s="138"/>
    </row>
    <row r="743" spans="4:24" ht="12.75" customHeight="1" x14ac:dyDescent="0.25">
      <c r="D743" s="138"/>
      <c r="E743" s="138"/>
      <c r="L743" s="138"/>
      <c r="O743" s="138"/>
      <c r="R743" s="138"/>
      <c r="U743" s="138"/>
      <c r="X743" s="138"/>
    </row>
    <row r="744" spans="4:24" ht="12.75" customHeight="1" x14ac:dyDescent="0.25">
      <c r="D744" s="138"/>
      <c r="E744" s="138"/>
      <c r="L744" s="138"/>
      <c r="O744" s="138"/>
      <c r="R744" s="138"/>
      <c r="U744" s="138"/>
      <c r="X744" s="138"/>
    </row>
    <row r="745" spans="4:24" ht="12.75" customHeight="1" x14ac:dyDescent="0.25">
      <c r="D745" s="138"/>
      <c r="E745" s="138"/>
      <c r="L745" s="138"/>
      <c r="O745" s="138"/>
      <c r="R745" s="138"/>
      <c r="U745" s="138"/>
      <c r="X745" s="138"/>
    </row>
    <row r="746" spans="4:24" ht="12.75" customHeight="1" x14ac:dyDescent="0.25">
      <c r="D746" s="138"/>
      <c r="E746" s="138"/>
      <c r="L746" s="138"/>
      <c r="O746" s="138"/>
      <c r="R746" s="138"/>
      <c r="U746" s="138"/>
      <c r="X746" s="138"/>
    </row>
    <row r="747" spans="4:24" ht="12.75" customHeight="1" x14ac:dyDescent="0.25">
      <c r="D747" s="138"/>
      <c r="E747" s="138"/>
      <c r="L747" s="138"/>
      <c r="O747" s="138"/>
      <c r="R747" s="138"/>
      <c r="U747" s="138"/>
      <c r="X747" s="138"/>
    </row>
    <row r="748" spans="4:24" ht="12.75" customHeight="1" x14ac:dyDescent="0.25">
      <c r="D748" s="138"/>
      <c r="E748" s="138"/>
      <c r="L748" s="138"/>
      <c r="O748" s="138"/>
      <c r="R748" s="138"/>
      <c r="U748" s="138"/>
      <c r="X748" s="138"/>
    </row>
    <row r="749" spans="4:24" ht="12.75" customHeight="1" x14ac:dyDescent="0.25">
      <c r="D749" s="138"/>
      <c r="E749" s="138"/>
      <c r="L749" s="138"/>
      <c r="O749" s="138"/>
      <c r="R749" s="138"/>
      <c r="U749" s="138"/>
      <c r="X749" s="138"/>
    </row>
    <row r="750" spans="4:24" ht="12.75" customHeight="1" x14ac:dyDescent="0.25">
      <c r="D750" s="138"/>
      <c r="E750" s="138"/>
      <c r="L750" s="138"/>
      <c r="O750" s="138"/>
      <c r="R750" s="138"/>
      <c r="U750" s="138"/>
      <c r="X750" s="138"/>
    </row>
    <row r="751" spans="4:24" ht="12.75" customHeight="1" x14ac:dyDescent="0.25">
      <c r="D751" s="138"/>
      <c r="E751" s="138"/>
      <c r="L751" s="138"/>
      <c r="O751" s="138"/>
      <c r="R751" s="138"/>
      <c r="U751" s="138"/>
      <c r="X751" s="138"/>
    </row>
    <row r="752" spans="4:24" ht="12.75" customHeight="1" x14ac:dyDescent="0.25">
      <c r="D752" s="138"/>
      <c r="E752" s="138"/>
      <c r="L752" s="138"/>
      <c r="O752" s="138"/>
      <c r="R752" s="138"/>
      <c r="U752" s="138"/>
      <c r="X752" s="138"/>
    </row>
    <row r="753" spans="4:24" ht="12.75" customHeight="1" x14ac:dyDescent="0.25">
      <c r="D753" s="138"/>
      <c r="E753" s="138"/>
      <c r="L753" s="138"/>
      <c r="O753" s="138"/>
      <c r="R753" s="138"/>
      <c r="U753" s="138"/>
      <c r="X753" s="138"/>
    </row>
    <row r="754" spans="4:24" ht="12.75" customHeight="1" x14ac:dyDescent="0.25">
      <c r="D754" s="138"/>
      <c r="E754" s="138"/>
      <c r="L754" s="138"/>
      <c r="O754" s="138"/>
      <c r="R754" s="138"/>
      <c r="U754" s="138"/>
      <c r="X754" s="138"/>
    </row>
    <row r="755" spans="4:24" ht="12.75" customHeight="1" x14ac:dyDescent="0.25">
      <c r="D755" s="138"/>
      <c r="E755" s="138"/>
      <c r="L755" s="138"/>
      <c r="O755" s="138"/>
      <c r="R755" s="138"/>
      <c r="U755" s="138"/>
      <c r="X755" s="138"/>
    </row>
    <row r="756" spans="4:24" ht="12.75" customHeight="1" x14ac:dyDescent="0.25">
      <c r="D756" s="138"/>
      <c r="E756" s="138"/>
      <c r="L756" s="138"/>
      <c r="O756" s="138"/>
      <c r="R756" s="138"/>
      <c r="U756" s="138"/>
      <c r="X756" s="138"/>
    </row>
    <row r="757" spans="4:24" ht="12.75" customHeight="1" x14ac:dyDescent="0.25">
      <c r="D757" s="138"/>
      <c r="E757" s="138"/>
      <c r="L757" s="138"/>
      <c r="O757" s="138"/>
      <c r="R757" s="138"/>
      <c r="U757" s="138"/>
      <c r="X757" s="138"/>
    </row>
    <row r="758" spans="4:24" ht="12.75" customHeight="1" x14ac:dyDescent="0.25">
      <c r="D758" s="138"/>
      <c r="E758" s="138"/>
      <c r="L758" s="138"/>
      <c r="O758" s="138"/>
      <c r="R758" s="138"/>
      <c r="U758" s="138"/>
      <c r="X758" s="138"/>
    </row>
    <row r="759" spans="4:24" ht="12.75" customHeight="1" x14ac:dyDescent="0.25">
      <c r="D759" s="138"/>
      <c r="E759" s="138"/>
      <c r="L759" s="138"/>
      <c r="O759" s="138"/>
      <c r="R759" s="138"/>
      <c r="U759" s="138"/>
      <c r="X759" s="138"/>
    </row>
    <row r="760" spans="4:24" ht="12.75" customHeight="1" x14ac:dyDescent="0.25">
      <c r="D760" s="138"/>
      <c r="E760" s="138"/>
      <c r="L760" s="138"/>
      <c r="O760" s="138"/>
      <c r="R760" s="138"/>
      <c r="U760" s="138"/>
      <c r="X760" s="138"/>
    </row>
    <row r="761" spans="4:24" ht="12.75" customHeight="1" x14ac:dyDescent="0.25">
      <c r="D761" s="138"/>
      <c r="E761" s="138"/>
      <c r="L761" s="138"/>
      <c r="O761" s="138"/>
      <c r="R761" s="138"/>
      <c r="U761" s="138"/>
      <c r="X761" s="138"/>
    </row>
    <row r="762" spans="4:24" ht="12.75" customHeight="1" x14ac:dyDescent="0.25">
      <c r="D762" s="138"/>
      <c r="E762" s="138"/>
      <c r="L762" s="138"/>
      <c r="O762" s="138"/>
      <c r="R762" s="138"/>
      <c r="U762" s="138"/>
      <c r="X762" s="138"/>
    </row>
    <row r="763" spans="4:24" ht="12.75" customHeight="1" x14ac:dyDescent="0.25">
      <c r="D763" s="138"/>
      <c r="E763" s="138"/>
      <c r="L763" s="138"/>
      <c r="O763" s="138"/>
      <c r="R763" s="138"/>
      <c r="U763" s="138"/>
      <c r="X763" s="138"/>
    </row>
    <row r="764" spans="4:24" ht="12.75" customHeight="1" x14ac:dyDescent="0.25">
      <c r="D764" s="138"/>
      <c r="E764" s="138"/>
      <c r="L764" s="138"/>
      <c r="O764" s="138"/>
      <c r="R764" s="138"/>
      <c r="U764" s="138"/>
      <c r="X764" s="138"/>
    </row>
    <row r="765" spans="4:24" ht="12.75" customHeight="1" x14ac:dyDescent="0.25">
      <c r="D765" s="138"/>
      <c r="E765" s="138"/>
      <c r="L765" s="138"/>
      <c r="O765" s="138"/>
      <c r="R765" s="138"/>
      <c r="U765" s="138"/>
      <c r="X765" s="138"/>
    </row>
    <row r="766" spans="4:24" ht="12.75" customHeight="1" x14ac:dyDescent="0.25">
      <c r="D766" s="138"/>
      <c r="E766" s="138"/>
      <c r="L766" s="138"/>
      <c r="O766" s="138"/>
      <c r="R766" s="138"/>
      <c r="U766" s="138"/>
      <c r="X766" s="138"/>
    </row>
    <row r="767" spans="4:24" ht="12.75" customHeight="1" x14ac:dyDescent="0.25">
      <c r="D767" s="138"/>
      <c r="E767" s="138"/>
      <c r="L767" s="138"/>
      <c r="O767" s="138"/>
      <c r="R767" s="138"/>
      <c r="U767" s="138"/>
      <c r="X767" s="138"/>
    </row>
    <row r="768" spans="4:24" ht="12.75" customHeight="1" x14ac:dyDescent="0.25">
      <c r="D768" s="138"/>
      <c r="E768" s="138"/>
      <c r="L768" s="138"/>
      <c r="O768" s="138"/>
      <c r="R768" s="138"/>
      <c r="U768" s="138"/>
      <c r="X768" s="138"/>
    </row>
    <row r="769" spans="4:24" ht="12.75" customHeight="1" x14ac:dyDescent="0.25">
      <c r="D769" s="138"/>
      <c r="E769" s="138"/>
      <c r="L769" s="138"/>
      <c r="O769" s="138"/>
      <c r="R769" s="138"/>
      <c r="U769" s="138"/>
      <c r="X769" s="138"/>
    </row>
    <row r="770" spans="4:24" ht="12.75" customHeight="1" x14ac:dyDescent="0.25">
      <c r="D770" s="138"/>
      <c r="E770" s="138"/>
      <c r="L770" s="138"/>
      <c r="O770" s="138"/>
      <c r="R770" s="138"/>
      <c r="U770" s="138"/>
      <c r="X770" s="138"/>
    </row>
    <row r="771" spans="4:24" ht="12.75" customHeight="1" x14ac:dyDescent="0.25">
      <c r="D771" s="138"/>
      <c r="E771" s="138"/>
      <c r="L771" s="138"/>
      <c r="O771" s="138"/>
      <c r="R771" s="138"/>
      <c r="U771" s="138"/>
      <c r="X771" s="138"/>
    </row>
    <row r="772" spans="4:24" ht="12.75" customHeight="1" x14ac:dyDescent="0.25">
      <c r="D772" s="138"/>
      <c r="E772" s="138"/>
      <c r="L772" s="138"/>
      <c r="O772" s="138"/>
      <c r="R772" s="138"/>
      <c r="U772" s="138"/>
      <c r="X772" s="138"/>
    </row>
    <row r="773" spans="4:24" ht="12.75" customHeight="1" x14ac:dyDescent="0.25">
      <c r="D773" s="138"/>
      <c r="E773" s="138"/>
      <c r="L773" s="138"/>
      <c r="O773" s="138"/>
      <c r="R773" s="138"/>
      <c r="U773" s="138"/>
      <c r="X773" s="138"/>
    </row>
    <row r="774" spans="4:24" ht="12.75" customHeight="1" x14ac:dyDescent="0.25">
      <c r="D774" s="138"/>
      <c r="E774" s="138"/>
      <c r="L774" s="138"/>
      <c r="O774" s="138"/>
      <c r="R774" s="138"/>
      <c r="U774" s="138"/>
      <c r="X774" s="138"/>
    </row>
    <row r="775" spans="4:24" ht="12.75" customHeight="1" x14ac:dyDescent="0.25">
      <c r="D775" s="138"/>
      <c r="E775" s="138"/>
      <c r="L775" s="138"/>
      <c r="O775" s="138"/>
      <c r="R775" s="138"/>
      <c r="U775" s="138"/>
      <c r="X775" s="138"/>
    </row>
    <row r="776" spans="4:24" ht="12.75" customHeight="1" x14ac:dyDescent="0.25">
      <c r="D776" s="138"/>
      <c r="E776" s="138"/>
      <c r="L776" s="138"/>
      <c r="O776" s="138"/>
      <c r="R776" s="138"/>
      <c r="U776" s="138"/>
      <c r="X776" s="138"/>
    </row>
    <row r="777" spans="4:24" ht="12.75" customHeight="1" x14ac:dyDescent="0.25">
      <c r="D777" s="138"/>
      <c r="E777" s="138"/>
      <c r="L777" s="138"/>
      <c r="O777" s="138"/>
      <c r="R777" s="138"/>
      <c r="U777" s="138"/>
      <c r="X777" s="138"/>
    </row>
    <row r="778" spans="4:24" ht="12.75" customHeight="1" x14ac:dyDescent="0.25">
      <c r="D778" s="138"/>
      <c r="E778" s="138"/>
      <c r="L778" s="138"/>
      <c r="O778" s="138"/>
      <c r="R778" s="138"/>
      <c r="U778" s="138"/>
      <c r="X778" s="138"/>
    </row>
    <row r="779" spans="4:24" ht="12.75" customHeight="1" x14ac:dyDescent="0.25">
      <c r="D779" s="138"/>
      <c r="E779" s="138"/>
      <c r="L779" s="138"/>
      <c r="O779" s="138"/>
      <c r="R779" s="138"/>
      <c r="U779" s="138"/>
      <c r="X779" s="138"/>
    </row>
    <row r="780" spans="4:24" ht="12.75" customHeight="1" x14ac:dyDescent="0.25">
      <c r="D780" s="138"/>
      <c r="E780" s="138"/>
      <c r="L780" s="138"/>
      <c r="O780" s="138"/>
      <c r="R780" s="138"/>
      <c r="U780" s="138"/>
      <c r="X780" s="138"/>
    </row>
    <row r="781" spans="4:24" ht="12.75" customHeight="1" x14ac:dyDescent="0.25">
      <c r="D781" s="138"/>
      <c r="E781" s="138"/>
      <c r="L781" s="138"/>
      <c r="O781" s="138"/>
      <c r="R781" s="138"/>
      <c r="U781" s="138"/>
      <c r="X781" s="138"/>
    </row>
    <row r="782" spans="4:24" ht="12.75" customHeight="1" x14ac:dyDescent="0.25">
      <c r="D782" s="138"/>
      <c r="E782" s="138"/>
      <c r="L782" s="138"/>
      <c r="O782" s="138"/>
      <c r="R782" s="138"/>
      <c r="U782" s="138"/>
      <c r="X782" s="138"/>
    </row>
    <row r="783" spans="4:24" ht="12.75" customHeight="1" x14ac:dyDescent="0.25">
      <c r="D783" s="138"/>
      <c r="E783" s="138"/>
      <c r="L783" s="138"/>
      <c r="O783" s="138"/>
      <c r="R783" s="138"/>
      <c r="U783" s="138"/>
      <c r="X783" s="138"/>
    </row>
    <row r="784" spans="4:24" ht="12.75" customHeight="1" x14ac:dyDescent="0.25">
      <c r="D784" s="138"/>
      <c r="E784" s="138"/>
      <c r="L784" s="138"/>
      <c r="O784" s="138"/>
      <c r="R784" s="138"/>
      <c r="U784" s="138"/>
      <c r="X784" s="138"/>
    </row>
    <row r="785" spans="4:24" ht="12.75" customHeight="1" x14ac:dyDescent="0.25">
      <c r="D785" s="138"/>
      <c r="E785" s="138"/>
      <c r="L785" s="138"/>
      <c r="O785" s="138"/>
      <c r="R785" s="138"/>
      <c r="U785" s="138"/>
      <c r="X785" s="138"/>
    </row>
    <row r="786" spans="4:24" ht="12.75" customHeight="1" x14ac:dyDescent="0.25">
      <c r="D786" s="138"/>
      <c r="E786" s="138"/>
      <c r="L786" s="138"/>
      <c r="O786" s="138"/>
      <c r="R786" s="138"/>
      <c r="U786" s="138"/>
      <c r="X786" s="138"/>
    </row>
    <row r="787" spans="4:24" ht="12.75" customHeight="1" x14ac:dyDescent="0.25">
      <c r="D787" s="138"/>
      <c r="E787" s="138"/>
      <c r="L787" s="138"/>
      <c r="O787" s="138"/>
      <c r="R787" s="138"/>
      <c r="U787" s="138"/>
      <c r="X787" s="138"/>
    </row>
    <row r="788" spans="4:24" ht="12.75" customHeight="1" x14ac:dyDescent="0.25">
      <c r="D788" s="138"/>
      <c r="E788" s="138"/>
      <c r="L788" s="138"/>
      <c r="O788" s="138"/>
      <c r="R788" s="138"/>
      <c r="U788" s="138"/>
      <c r="X788" s="138"/>
    </row>
    <row r="789" spans="4:24" ht="12.75" customHeight="1" x14ac:dyDescent="0.25">
      <c r="D789" s="138"/>
      <c r="E789" s="138"/>
      <c r="L789" s="138"/>
      <c r="O789" s="138"/>
      <c r="R789" s="138"/>
      <c r="U789" s="138"/>
      <c r="X789" s="138"/>
    </row>
    <row r="790" spans="4:24" ht="12.75" customHeight="1" x14ac:dyDescent="0.25">
      <c r="D790" s="138"/>
      <c r="E790" s="138"/>
      <c r="L790" s="138"/>
      <c r="O790" s="138"/>
      <c r="R790" s="138"/>
      <c r="U790" s="138"/>
      <c r="X790" s="138"/>
    </row>
    <row r="791" spans="4:24" ht="12.75" customHeight="1" x14ac:dyDescent="0.25">
      <c r="D791" s="138"/>
      <c r="E791" s="138"/>
      <c r="L791" s="138"/>
      <c r="O791" s="138"/>
      <c r="R791" s="138"/>
      <c r="U791" s="138"/>
      <c r="X791" s="138"/>
    </row>
    <row r="792" spans="4:24" ht="12.75" customHeight="1" x14ac:dyDescent="0.25">
      <c r="D792" s="138"/>
      <c r="E792" s="138"/>
      <c r="L792" s="138"/>
      <c r="O792" s="138"/>
      <c r="R792" s="138"/>
      <c r="U792" s="138"/>
      <c r="X792" s="138"/>
    </row>
    <row r="793" spans="4:24" ht="12.75" customHeight="1" x14ac:dyDescent="0.25">
      <c r="D793" s="138"/>
      <c r="E793" s="138"/>
      <c r="L793" s="138"/>
      <c r="O793" s="138"/>
      <c r="R793" s="138"/>
      <c r="U793" s="138"/>
      <c r="X793" s="138"/>
    </row>
    <row r="794" spans="4:24" ht="12.75" customHeight="1" x14ac:dyDescent="0.25">
      <c r="D794" s="138"/>
      <c r="E794" s="138"/>
      <c r="L794" s="138"/>
      <c r="O794" s="138"/>
      <c r="R794" s="138"/>
      <c r="U794" s="138"/>
      <c r="X794" s="138"/>
    </row>
    <row r="795" spans="4:24" ht="12.75" customHeight="1" x14ac:dyDescent="0.25">
      <c r="D795" s="138"/>
      <c r="E795" s="138"/>
      <c r="L795" s="138"/>
      <c r="O795" s="138"/>
      <c r="R795" s="138"/>
      <c r="U795" s="138"/>
      <c r="X795" s="138"/>
    </row>
    <row r="796" spans="4:24" ht="12.75" customHeight="1" x14ac:dyDescent="0.25">
      <c r="D796" s="138"/>
      <c r="E796" s="138"/>
      <c r="L796" s="138"/>
      <c r="O796" s="138"/>
      <c r="R796" s="138"/>
      <c r="U796" s="138"/>
      <c r="X796" s="138"/>
    </row>
    <row r="797" spans="4:24" ht="12.75" customHeight="1" x14ac:dyDescent="0.25">
      <c r="D797" s="138"/>
      <c r="E797" s="138"/>
      <c r="L797" s="138"/>
      <c r="O797" s="138"/>
      <c r="R797" s="138"/>
      <c r="U797" s="138"/>
      <c r="X797" s="138"/>
    </row>
    <row r="798" spans="4:24" ht="12.75" customHeight="1" x14ac:dyDescent="0.25">
      <c r="D798" s="138"/>
      <c r="E798" s="138"/>
      <c r="L798" s="138"/>
      <c r="O798" s="138"/>
      <c r="R798" s="138"/>
      <c r="U798" s="138"/>
      <c r="X798" s="138"/>
    </row>
    <row r="799" spans="4:24" ht="12.75" customHeight="1" x14ac:dyDescent="0.25">
      <c r="D799" s="138"/>
      <c r="E799" s="138"/>
      <c r="L799" s="138"/>
      <c r="O799" s="138"/>
      <c r="R799" s="138"/>
      <c r="U799" s="138"/>
      <c r="X799" s="138"/>
    </row>
    <row r="800" spans="4:24" ht="12.75" customHeight="1" x14ac:dyDescent="0.25">
      <c r="D800" s="138"/>
      <c r="E800" s="138"/>
      <c r="L800" s="138"/>
      <c r="O800" s="138"/>
      <c r="R800" s="138"/>
      <c r="U800" s="138"/>
      <c r="X800" s="138"/>
    </row>
    <row r="801" spans="4:24" ht="12.75" customHeight="1" x14ac:dyDescent="0.25">
      <c r="D801" s="138"/>
      <c r="E801" s="138"/>
      <c r="L801" s="138"/>
      <c r="O801" s="138"/>
      <c r="R801" s="138"/>
      <c r="U801" s="138"/>
      <c r="X801" s="138"/>
    </row>
    <row r="802" spans="4:24" ht="12.75" customHeight="1" x14ac:dyDescent="0.25">
      <c r="D802" s="138"/>
      <c r="E802" s="138"/>
      <c r="L802" s="138"/>
      <c r="O802" s="138"/>
      <c r="R802" s="138"/>
      <c r="U802" s="138"/>
      <c r="X802" s="138"/>
    </row>
    <row r="803" spans="4:24" ht="12.75" customHeight="1" x14ac:dyDescent="0.25">
      <c r="D803" s="138"/>
      <c r="E803" s="138"/>
      <c r="L803" s="138"/>
      <c r="O803" s="138"/>
      <c r="R803" s="138"/>
      <c r="U803" s="138"/>
      <c r="X803" s="138"/>
    </row>
    <row r="804" spans="4:24" ht="12.75" customHeight="1" x14ac:dyDescent="0.25">
      <c r="D804" s="138"/>
      <c r="E804" s="138"/>
      <c r="L804" s="138"/>
      <c r="O804" s="138"/>
      <c r="R804" s="138"/>
      <c r="U804" s="138"/>
      <c r="X804" s="138"/>
    </row>
    <row r="805" spans="4:24" ht="12.75" customHeight="1" x14ac:dyDescent="0.25">
      <c r="D805" s="138"/>
      <c r="E805" s="138"/>
      <c r="L805" s="138"/>
      <c r="O805" s="138"/>
      <c r="R805" s="138"/>
      <c r="U805" s="138"/>
      <c r="X805" s="138"/>
    </row>
    <row r="806" spans="4:24" ht="12.75" customHeight="1" x14ac:dyDescent="0.25">
      <c r="D806" s="138"/>
      <c r="E806" s="138"/>
      <c r="L806" s="138"/>
      <c r="O806" s="138"/>
      <c r="R806" s="138"/>
      <c r="U806" s="138"/>
      <c r="X806" s="138"/>
    </row>
    <row r="807" spans="4:24" ht="12.75" customHeight="1" x14ac:dyDescent="0.25">
      <c r="D807" s="138"/>
      <c r="E807" s="138"/>
      <c r="L807" s="138"/>
      <c r="O807" s="138"/>
      <c r="R807" s="138"/>
      <c r="U807" s="138"/>
      <c r="X807" s="138"/>
    </row>
    <row r="808" spans="4:24" ht="12.75" customHeight="1" x14ac:dyDescent="0.25">
      <c r="D808" s="138"/>
      <c r="E808" s="138"/>
      <c r="L808" s="138"/>
      <c r="O808" s="138"/>
      <c r="R808" s="138"/>
      <c r="U808" s="138"/>
      <c r="X808" s="138"/>
    </row>
    <row r="809" spans="4:24" ht="12.75" customHeight="1" x14ac:dyDescent="0.25">
      <c r="D809" s="138"/>
      <c r="E809" s="138"/>
      <c r="L809" s="138"/>
      <c r="O809" s="138"/>
      <c r="R809" s="138"/>
      <c r="U809" s="138"/>
      <c r="X809" s="138"/>
    </row>
    <row r="810" spans="4:24" ht="12.75" customHeight="1" x14ac:dyDescent="0.25">
      <c r="D810" s="138"/>
      <c r="E810" s="138"/>
      <c r="L810" s="138"/>
      <c r="O810" s="138"/>
      <c r="R810" s="138"/>
      <c r="U810" s="138"/>
      <c r="X810" s="138"/>
    </row>
    <row r="811" spans="4:24" ht="12.75" customHeight="1" x14ac:dyDescent="0.25">
      <c r="D811" s="138"/>
      <c r="E811" s="138"/>
      <c r="L811" s="138"/>
      <c r="O811" s="138"/>
      <c r="R811" s="138"/>
      <c r="U811" s="138"/>
      <c r="X811" s="138"/>
    </row>
    <row r="812" spans="4:24" ht="12.75" customHeight="1" x14ac:dyDescent="0.25">
      <c r="D812" s="138"/>
      <c r="E812" s="138"/>
      <c r="L812" s="138"/>
      <c r="O812" s="138"/>
      <c r="R812" s="138"/>
      <c r="U812" s="138"/>
      <c r="X812" s="138"/>
    </row>
    <row r="813" spans="4:24" ht="12.75" customHeight="1" x14ac:dyDescent="0.25">
      <c r="D813" s="138"/>
      <c r="E813" s="138"/>
      <c r="L813" s="138"/>
      <c r="O813" s="138"/>
      <c r="R813" s="138"/>
      <c r="U813" s="138"/>
      <c r="X813" s="138"/>
    </row>
    <row r="814" spans="4:24" ht="12.75" customHeight="1" x14ac:dyDescent="0.25">
      <c r="D814" s="138"/>
      <c r="E814" s="138"/>
      <c r="L814" s="138"/>
      <c r="O814" s="138"/>
      <c r="R814" s="138"/>
      <c r="U814" s="138"/>
      <c r="X814" s="138"/>
    </row>
    <row r="815" spans="4:24" ht="12.75" customHeight="1" x14ac:dyDescent="0.25">
      <c r="D815" s="138"/>
      <c r="E815" s="138"/>
      <c r="L815" s="138"/>
      <c r="O815" s="138"/>
      <c r="R815" s="138"/>
      <c r="U815" s="138"/>
      <c r="X815" s="138"/>
    </row>
    <row r="816" spans="4:24" ht="12.75" customHeight="1" x14ac:dyDescent="0.25">
      <c r="D816" s="138"/>
      <c r="E816" s="138"/>
      <c r="L816" s="138"/>
      <c r="O816" s="138"/>
      <c r="R816" s="138"/>
      <c r="U816" s="138"/>
      <c r="X816" s="138"/>
    </row>
    <row r="817" spans="4:24" ht="12.75" customHeight="1" x14ac:dyDescent="0.25">
      <c r="D817" s="138"/>
      <c r="E817" s="138"/>
      <c r="L817" s="138"/>
      <c r="O817" s="138"/>
      <c r="R817" s="138"/>
      <c r="U817" s="138"/>
      <c r="X817" s="138"/>
    </row>
    <row r="818" spans="4:24" ht="12.75" customHeight="1" x14ac:dyDescent="0.25">
      <c r="D818" s="138"/>
      <c r="E818" s="138"/>
      <c r="L818" s="138"/>
      <c r="O818" s="138"/>
      <c r="R818" s="138"/>
      <c r="U818" s="138"/>
      <c r="X818" s="138"/>
    </row>
    <row r="819" spans="4:24" ht="12.75" customHeight="1" x14ac:dyDescent="0.25">
      <c r="D819" s="138"/>
      <c r="E819" s="138"/>
      <c r="L819" s="138"/>
      <c r="O819" s="138"/>
      <c r="R819" s="138"/>
      <c r="U819" s="138"/>
      <c r="X819" s="138"/>
    </row>
    <row r="820" spans="4:24" ht="12.75" customHeight="1" x14ac:dyDescent="0.25">
      <c r="D820" s="138"/>
      <c r="E820" s="138"/>
      <c r="L820" s="138"/>
      <c r="O820" s="138"/>
      <c r="R820" s="138"/>
      <c r="U820" s="138"/>
      <c r="X820" s="138"/>
    </row>
    <row r="821" spans="4:24" ht="12.75" customHeight="1" x14ac:dyDescent="0.25">
      <c r="D821" s="138"/>
      <c r="E821" s="138"/>
      <c r="L821" s="138"/>
      <c r="O821" s="138"/>
      <c r="R821" s="138"/>
      <c r="U821" s="138"/>
      <c r="X821" s="138"/>
    </row>
    <row r="822" spans="4:24" ht="12.75" customHeight="1" x14ac:dyDescent="0.25">
      <c r="D822" s="138"/>
      <c r="E822" s="138"/>
      <c r="L822" s="138"/>
      <c r="O822" s="138"/>
      <c r="R822" s="138"/>
      <c r="U822" s="138"/>
      <c r="X822" s="138"/>
    </row>
    <row r="823" spans="4:24" ht="12.75" customHeight="1" x14ac:dyDescent="0.25">
      <c r="D823" s="138"/>
      <c r="E823" s="138"/>
      <c r="L823" s="138"/>
      <c r="O823" s="138"/>
      <c r="R823" s="138"/>
      <c r="U823" s="138"/>
      <c r="X823" s="138"/>
    </row>
    <row r="824" spans="4:24" ht="12.75" customHeight="1" x14ac:dyDescent="0.25">
      <c r="D824" s="138"/>
      <c r="E824" s="138"/>
      <c r="L824" s="138"/>
      <c r="O824" s="138"/>
      <c r="R824" s="138"/>
      <c r="U824" s="138"/>
      <c r="X824" s="138"/>
    </row>
    <row r="825" spans="4:24" ht="12.75" customHeight="1" x14ac:dyDescent="0.25">
      <c r="D825" s="138"/>
      <c r="E825" s="138"/>
      <c r="L825" s="138"/>
      <c r="O825" s="138"/>
      <c r="R825" s="138"/>
      <c r="U825" s="138"/>
      <c r="X825" s="138"/>
    </row>
    <row r="826" spans="4:24" ht="12.75" customHeight="1" x14ac:dyDescent="0.25">
      <c r="D826" s="138"/>
      <c r="E826" s="138"/>
      <c r="L826" s="138"/>
      <c r="O826" s="138"/>
      <c r="R826" s="138"/>
      <c r="U826" s="138"/>
      <c r="X826" s="138"/>
    </row>
    <row r="827" spans="4:24" ht="12.75" customHeight="1" x14ac:dyDescent="0.25">
      <c r="D827" s="138"/>
      <c r="E827" s="138"/>
      <c r="L827" s="138"/>
      <c r="O827" s="138"/>
      <c r="R827" s="138"/>
      <c r="U827" s="138"/>
      <c r="X827" s="138"/>
    </row>
    <row r="828" spans="4:24" ht="12.75" customHeight="1" x14ac:dyDescent="0.25">
      <c r="D828" s="138"/>
      <c r="E828" s="138"/>
      <c r="L828" s="138"/>
      <c r="O828" s="138"/>
      <c r="R828" s="138"/>
      <c r="U828" s="138"/>
      <c r="X828" s="138"/>
    </row>
    <row r="829" spans="4:24" ht="12.75" customHeight="1" x14ac:dyDescent="0.25">
      <c r="D829" s="138"/>
      <c r="E829" s="138"/>
      <c r="L829" s="138"/>
      <c r="O829" s="138"/>
      <c r="R829" s="138"/>
      <c r="U829" s="138"/>
      <c r="X829" s="138"/>
    </row>
    <row r="830" spans="4:24" ht="12.75" customHeight="1" x14ac:dyDescent="0.25">
      <c r="D830" s="138"/>
      <c r="E830" s="138"/>
      <c r="L830" s="138"/>
      <c r="O830" s="138"/>
      <c r="R830" s="138"/>
      <c r="U830" s="138"/>
      <c r="X830" s="138"/>
    </row>
    <row r="831" spans="4:24" ht="12.75" customHeight="1" x14ac:dyDescent="0.25">
      <c r="D831" s="138"/>
      <c r="E831" s="138"/>
      <c r="L831" s="138"/>
      <c r="O831" s="138"/>
      <c r="R831" s="138"/>
      <c r="U831" s="138"/>
      <c r="X831" s="138"/>
    </row>
    <row r="832" spans="4:24" ht="12.75" customHeight="1" x14ac:dyDescent="0.25">
      <c r="D832" s="138"/>
      <c r="E832" s="138"/>
      <c r="L832" s="138"/>
      <c r="O832" s="138"/>
      <c r="R832" s="138"/>
      <c r="U832" s="138"/>
      <c r="X832" s="138"/>
    </row>
    <row r="833" spans="4:24" ht="12.75" customHeight="1" x14ac:dyDescent="0.25">
      <c r="D833" s="138"/>
      <c r="E833" s="138"/>
      <c r="L833" s="138"/>
      <c r="O833" s="138"/>
      <c r="R833" s="138"/>
      <c r="U833" s="138"/>
      <c r="X833" s="138"/>
    </row>
    <row r="834" spans="4:24" ht="12.75" customHeight="1" x14ac:dyDescent="0.25">
      <c r="D834" s="138"/>
      <c r="E834" s="138"/>
      <c r="L834" s="138"/>
      <c r="O834" s="138"/>
      <c r="R834" s="138"/>
      <c r="U834" s="138"/>
      <c r="X834" s="138"/>
    </row>
    <row r="835" spans="4:24" ht="12.75" customHeight="1" x14ac:dyDescent="0.25">
      <c r="D835" s="138"/>
      <c r="E835" s="138"/>
      <c r="L835" s="138"/>
      <c r="O835" s="138"/>
      <c r="R835" s="138"/>
      <c r="U835" s="138"/>
      <c r="X835" s="138"/>
    </row>
    <row r="836" spans="4:24" ht="12.75" customHeight="1" x14ac:dyDescent="0.25">
      <c r="D836" s="138"/>
      <c r="E836" s="138"/>
      <c r="L836" s="138"/>
      <c r="O836" s="138"/>
      <c r="R836" s="138"/>
      <c r="U836" s="138"/>
      <c r="X836" s="138"/>
    </row>
    <row r="837" spans="4:24" ht="12.75" customHeight="1" x14ac:dyDescent="0.25">
      <c r="D837" s="138"/>
      <c r="E837" s="138"/>
      <c r="L837" s="138"/>
      <c r="O837" s="138"/>
      <c r="R837" s="138"/>
      <c r="U837" s="138"/>
      <c r="X837" s="138"/>
    </row>
    <row r="838" spans="4:24" ht="12.75" customHeight="1" x14ac:dyDescent="0.25">
      <c r="D838" s="138"/>
      <c r="E838" s="138"/>
      <c r="L838" s="138"/>
      <c r="O838" s="138"/>
      <c r="R838" s="138"/>
      <c r="U838" s="138"/>
      <c r="X838" s="138"/>
    </row>
    <row r="839" spans="4:24" ht="12.75" customHeight="1" x14ac:dyDescent="0.25">
      <c r="D839" s="138"/>
      <c r="E839" s="138"/>
      <c r="L839" s="138"/>
      <c r="O839" s="138"/>
      <c r="R839" s="138"/>
      <c r="U839" s="138"/>
      <c r="X839" s="138"/>
    </row>
    <row r="840" spans="4:24" ht="12.75" customHeight="1" x14ac:dyDescent="0.25">
      <c r="D840" s="138"/>
      <c r="E840" s="138"/>
      <c r="L840" s="138"/>
      <c r="O840" s="138"/>
      <c r="R840" s="138"/>
      <c r="U840" s="138"/>
      <c r="X840" s="138"/>
    </row>
    <row r="841" spans="4:24" ht="12.75" customHeight="1" x14ac:dyDescent="0.25">
      <c r="D841" s="138"/>
      <c r="E841" s="138"/>
      <c r="L841" s="138"/>
      <c r="O841" s="138"/>
      <c r="R841" s="138"/>
      <c r="U841" s="138"/>
      <c r="X841" s="138"/>
    </row>
    <row r="842" spans="4:24" ht="12.75" customHeight="1" x14ac:dyDescent="0.25">
      <c r="D842" s="138"/>
      <c r="E842" s="138"/>
      <c r="L842" s="138"/>
      <c r="O842" s="138"/>
      <c r="R842" s="138"/>
      <c r="U842" s="138"/>
      <c r="X842" s="138"/>
    </row>
    <row r="843" spans="4:24" ht="12.75" customHeight="1" x14ac:dyDescent="0.25">
      <c r="D843" s="138"/>
      <c r="E843" s="138"/>
      <c r="L843" s="138"/>
      <c r="O843" s="138"/>
      <c r="R843" s="138"/>
      <c r="U843" s="138"/>
      <c r="X843" s="138"/>
    </row>
    <row r="844" spans="4:24" ht="12.75" customHeight="1" x14ac:dyDescent="0.25">
      <c r="D844" s="138"/>
      <c r="E844" s="138"/>
      <c r="L844" s="138"/>
      <c r="O844" s="138"/>
      <c r="R844" s="138"/>
      <c r="U844" s="138"/>
      <c r="X844" s="138"/>
    </row>
    <row r="845" spans="4:24" ht="12.75" customHeight="1" x14ac:dyDescent="0.25">
      <c r="D845" s="138"/>
      <c r="E845" s="138"/>
      <c r="L845" s="138"/>
      <c r="O845" s="138"/>
      <c r="R845" s="138"/>
      <c r="U845" s="138"/>
      <c r="X845" s="138"/>
    </row>
    <row r="846" spans="4:24" ht="12.75" customHeight="1" x14ac:dyDescent="0.25">
      <c r="D846" s="138"/>
      <c r="E846" s="138"/>
      <c r="L846" s="138"/>
      <c r="O846" s="138"/>
      <c r="R846" s="138"/>
      <c r="U846" s="138"/>
      <c r="X846" s="138"/>
    </row>
    <row r="847" spans="4:24" ht="12.75" customHeight="1" x14ac:dyDescent="0.25">
      <c r="D847" s="138"/>
      <c r="E847" s="138"/>
      <c r="L847" s="138"/>
      <c r="O847" s="138"/>
      <c r="R847" s="138"/>
      <c r="U847" s="138"/>
      <c r="X847" s="138"/>
    </row>
    <row r="848" spans="4:24" ht="12.75" customHeight="1" x14ac:dyDescent="0.25">
      <c r="D848" s="138"/>
      <c r="E848" s="138"/>
      <c r="L848" s="138"/>
      <c r="O848" s="138"/>
      <c r="R848" s="138"/>
      <c r="U848" s="138"/>
      <c r="X848" s="138"/>
    </row>
    <row r="849" spans="4:24" ht="12.75" customHeight="1" x14ac:dyDescent="0.25">
      <c r="D849" s="138"/>
      <c r="E849" s="138"/>
      <c r="L849" s="138"/>
      <c r="O849" s="138"/>
      <c r="R849" s="138"/>
      <c r="U849" s="138"/>
      <c r="X849" s="138"/>
    </row>
    <row r="850" spans="4:24" ht="12.75" customHeight="1" x14ac:dyDescent="0.25">
      <c r="D850" s="138"/>
      <c r="E850" s="138"/>
      <c r="L850" s="138"/>
      <c r="O850" s="138"/>
      <c r="R850" s="138"/>
      <c r="U850" s="138"/>
      <c r="X850" s="138"/>
    </row>
    <row r="851" spans="4:24" ht="12.75" customHeight="1" x14ac:dyDescent="0.25">
      <c r="D851" s="138"/>
      <c r="E851" s="138"/>
      <c r="L851" s="138"/>
      <c r="O851" s="138"/>
      <c r="R851" s="138"/>
      <c r="U851" s="138"/>
      <c r="X851" s="138"/>
    </row>
    <row r="852" spans="4:24" ht="12.75" customHeight="1" x14ac:dyDescent="0.25">
      <c r="D852" s="138"/>
      <c r="E852" s="138"/>
      <c r="L852" s="138"/>
      <c r="O852" s="138"/>
      <c r="R852" s="138"/>
      <c r="U852" s="138"/>
      <c r="X852" s="138"/>
    </row>
    <row r="853" spans="4:24" ht="12.75" customHeight="1" x14ac:dyDescent="0.25">
      <c r="D853" s="138"/>
      <c r="E853" s="138"/>
      <c r="L853" s="138"/>
      <c r="O853" s="138"/>
      <c r="R853" s="138"/>
      <c r="U853" s="138"/>
      <c r="X853" s="138"/>
    </row>
    <row r="854" spans="4:24" ht="12.75" customHeight="1" x14ac:dyDescent="0.25">
      <c r="D854" s="138"/>
      <c r="E854" s="138"/>
      <c r="L854" s="138"/>
      <c r="O854" s="138"/>
      <c r="R854" s="138"/>
      <c r="U854" s="138"/>
      <c r="X854" s="138"/>
    </row>
    <row r="855" spans="4:24" ht="12.75" customHeight="1" x14ac:dyDescent="0.25">
      <c r="D855" s="138"/>
      <c r="E855" s="138"/>
      <c r="L855" s="138"/>
      <c r="O855" s="138"/>
      <c r="R855" s="138"/>
      <c r="U855" s="138"/>
      <c r="X855" s="138"/>
    </row>
    <row r="856" spans="4:24" ht="12.75" customHeight="1" x14ac:dyDescent="0.25">
      <c r="D856" s="138"/>
      <c r="E856" s="138"/>
      <c r="L856" s="138"/>
      <c r="O856" s="138"/>
      <c r="R856" s="138"/>
      <c r="U856" s="138"/>
      <c r="X856" s="138"/>
    </row>
    <row r="857" spans="4:24" ht="12.75" customHeight="1" x14ac:dyDescent="0.25">
      <c r="D857" s="138"/>
      <c r="E857" s="138"/>
      <c r="L857" s="138"/>
      <c r="O857" s="138"/>
      <c r="R857" s="138"/>
      <c r="U857" s="138"/>
      <c r="X857" s="138"/>
    </row>
    <row r="858" spans="4:24" ht="12.75" customHeight="1" x14ac:dyDescent="0.25">
      <c r="D858" s="138"/>
      <c r="E858" s="138"/>
      <c r="L858" s="138"/>
      <c r="O858" s="138"/>
      <c r="R858" s="138"/>
      <c r="U858" s="138"/>
      <c r="X858" s="138"/>
    </row>
    <row r="859" spans="4:24" ht="12.75" customHeight="1" x14ac:dyDescent="0.25">
      <c r="D859" s="138"/>
      <c r="E859" s="138"/>
      <c r="L859" s="138"/>
      <c r="O859" s="138"/>
      <c r="R859" s="138"/>
      <c r="U859" s="138"/>
      <c r="X859" s="138"/>
    </row>
    <row r="860" spans="4:24" ht="12.75" customHeight="1" x14ac:dyDescent="0.25">
      <c r="D860" s="138"/>
      <c r="E860" s="138"/>
      <c r="L860" s="138"/>
      <c r="O860" s="138"/>
      <c r="R860" s="138"/>
      <c r="U860" s="138"/>
      <c r="X860" s="138"/>
    </row>
    <row r="861" spans="4:24" ht="12.75" customHeight="1" x14ac:dyDescent="0.25">
      <c r="D861" s="138"/>
      <c r="E861" s="138"/>
      <c r="L861" s="138"/>
      <c r="O861" s="138"/>
      <c r="R861" s="138"/>
      <c r="U861" s="138"/>
      <c r="X861" s="138"/>
    </row>
    <row r="862" spans="4:24" ht="12.75" customHeight="1" x14ac:dyDescent="0.25">
      <c r="D862" s="138"/>
      <c r="E862" s="138"/>
      <c r="L862" s="138"/>
      <c r="O862" s="138"/>
      <c r="R862" s="138"/>
      <c r="U862" s="138"/>
      <c r="X862" s="138"/>
    </row>
    <row r="863" spans="4:24" ht="12.75" customHeight="1" x14ac:dyDescent="0.25">
      <c r="D863" s="138"/>
      <c r="E863" s="138"/>
      <c r="L863" s="138"/>
      <c r="O863" s="138"/>
      <c r="R863" s="138"/>
      <c r="U863" s="138"/>
      <c r="X863" s="138"/>
    </row>
    <row r="864" spans="4:24" ht="12.75" customHeight="1" x14ac:dyDescent="0.25">
      <c r="D864" s="138"/>
      <c r="E864" s="138"/>
      <c r="L864" s="138"/>
      <c r="O864" s="138"/>
      <c r="R864" s="138"/>
      <c r="U864" s="138"/>
      <c r="X864" s="138"/>
    </row>
    <row r="865" spans="4:24" ht="12.75" customHeight="1" x14ac:dyDescent="0.25">
      <c r="D865" s="138"/>
      <c r="E865" s="138"/>
      <c r="L865" s="138"/>
      <c r="O865" s="138"/>
      <c r="R865" s="138"/>
      <c r="U865" s="138"/>
      <c r="X865" s="138"/>
    </row>
    <row r="866" spans="4:24" ht="12.75" customHeight="1" x14ac:dyDescent="0.25">
      <c r="D866" s="138"/>
      <c r="E866" s="138"/>
      <c r="L866" s="138"/>
      <c r="O866" s="138"/>
      <c r="R866" s="138"/>
      <c r="U866" s="138"/>
      <c r="X866" s="138"/>
    </row>
    <row r="867" spans="4:24" ht="12.75" customHeight="1" x14ac:dyDescent="0.25">
      <c r="D867" s="138"/>
      <c r="E867" s="138"/>
      <c r="L867" s="138"/>
      <c r="O867" s="138"/>
      <c r="R867" s="138"/>
      <c r="U867" s="138"/>
      <c r="X867" s="138"/>
    </row>
    <row r="868" spans="4:24" ht="12.75" customHeight="1" x14ac:dyDescent="0.25">
      <c r="D868" s="138"/>
      <c r="E868" s="138"/>
      <c r="L868" s="138"/>
      <c r="O868" s="138"/>
      <c r="R868" s="138"/>
      <c r="U868" s="138"/>
      <c r="X868" s="138"/>
    </row>
    <row r="869" spans="4:24" ht="12.75" customHeight="1" x14ac:dyDescent="0.25">
      <c r="D869" s="138"/>
      <c r="E869" s="138"/>
      <c r="L869" s="138"/>
      <c r="O869" s="138"/>
      <c r="R869" s="138"/>
      <c r="U869" s="138"/>
      <c r="X869" s="138"/>
    </row>
    <row r="870" spans="4:24" ht="12.75" customHeight="1" x14ac:dyDescent="0.25">
      <c r="D870" s="138"/>
      <c r="E870" s="138"/>
      <c r="L870" s="138"/>
      <c r="O870" s="138"/>
      <c r="R870" s="138"/>
      <c r="U870" s="138"/>
      <c r="X870" s="138"/>
    </row>
    <row r="871" spans="4:24" ht="12.75" customHeight="1" x14ac:dyDescent="0.25">
      <c r="D871" s="138"/>
      <c r="E871" s="138"/>
      <c r="L871" s="138"/>
      <c r="O871" s="138"/>
      <c r="R871" s="138"/>
      <c r="U871" s="138"/>
      <c r="X871" s="138"/>
    </row>
    <row r="872" spans="4:24" ht="12.75" customHeight="1" x14ac:dyDescent="0.25">
      <c r="D872" s="138"/>
      <c r="E872" s="138"/>
      <c r="L872" s="138"/>
      <c r="O872" s="138"/>
      <c r="R872" s="138"/>
      <c r="U872" s="138"/>
      <c r="X872" s="138"/>
    </row>
    <row r="873" spans="4:24" ht="12.75" customHeight="1" x14ac:dyDescent="0.25">
      <c r="D873" s="138"/>
      <c r="E873" s="138"/>
      <c r="L873" s="138"/>
      <c r="O873" s="138"/>
      <c r="R873" s="138"/>
      <c r="U873" s="138"/>
      <c r="X873" s="138"/>
    </row>
    <row r="874" spans="4:24" ht="12.75" customHeight="1" x14ac:dyDescent="0.25">
      <c r="D874" s="138"/>
      <c r="E874" s="138"/>
      <c r="L874" s="138"/>
      <c r="O874" s="138"/>
      <c r="R874" s="138"/>
      <c r="U874" s="138"/>
      <c r="X874" s="138"/>
    </row>
    <row r="875" spans="4:24" ht="12.75" customHeight="1" x14ac:dyDescent="0.25">
      <c r="D875" s="138"/>
      <c r="E875" s="138"/>
      <c r="L875" s="138"/>
      <c r="O875" s="138"/>
      <c r="R875" s="138"/>
      <c r="U875" s="138"/>
      <c r="X875" s="138"/>
    </row>
    <row r="876" spans="4:24" ht="12.75" customHeight="1" x14ac:dyDescent="0.25">
      <c r="D876" s="138"/>
      <c r="E876" s="138"/>
      <c r="L876" s="138"/>
      <c r="O876" s="138"/>
      <c r="R876" s="138"/>
      <c r="U876" s="138"/>
      <c r="X876" s="138"/>
    </row>
    <row r="877" spans="4:24" ht="12.75" customHeight="1" x14ac:dyDescent="0.25">
      <c r="D877" s="138"/>
      <c r="E877" s="138"/>
      <c r="L877" s="138"/>
      <c r="O877" s="138"/>
      <c r="R877" s="138"/>
      <c r="U877" s="138"/>
      <c r="X877" s="138"/>
    </row>
    <row r="878" spans="4:24" ht="12.75" customHeight="1" x14ac:dyDescent="0.25">
      <c r="D878" s="138"/>
      <c r="E878" s="138"/>
      <c r="L878" s="138"/>
      <c r="O878" s="138"/>
      <c r="R878" s="138"/>
      <c r="U878" s="138"/>
      <c r="X878" s="138"/>
    </row>
    <row r="879" spans="4:24" ht="12.75" customHeight="1" x14ac:dyDescent="0.25">
      <c r="D879" s="138"/>
      <c r="E879" s="138"/>
      <c r="L879" s="138"/>
      <c r="O879" s="138"/>
      <c r="R879" s="138"/>
      <c r="U879" s="138"/>
      <c r="X879" s="138"/>
    </row>
    <row r="880" spans="4:24" ht="12.75" customHeight="1" x14ac:dyDescent="0.25">
      <c r="D880" s="138"/>
      <c r="E880" s="138"/>
      <c r="L880" s="138"/>
      <c r="O880" s="138"/>
      <c r="R880" s="138"/>
      <c r="U880" s="138"/>
      <c r="X880" s="138"/>
    </row>
    <row r="881" spans="4:24" ht="12.75" customHeight="1" x14ac:dyDescent="0.25">
      <c r="D881" s="138"/>
      <c r="E881" s="138"/>
      <c r="L881" s="138"/>
      <c r="O881" s="138"/>
      <c r="R881" s="138"/>
      <c r="U881" s="138"/>
      <c r="X881" s="138"/>
    </row>
    <row r="882" spans="4:24" ht="12.75" customHeight="1" x14ac:dyDescent="0.25">
      <c r="D882" s="138"/>
      <c r="E882" s="138"/>
      <c r="L882" s="138"/>
      <c r="O882" s="138"/>
      <c r="R882" s="138"/>
      <c r="U882" s="138"/>
      <c r="X882" s="138"/>
    </row>
    <row r="883" spans="4:24" ht="12.75" customHeight="1" x14ac:dyDescent="0.25">
      <c r="D883" s="138"/>
      <c r="E883" s="138"/>
      <c r="L883" s="138"/>
      <c r="O883" s="138"/>
      <c r="R883" s="138"/>
      <c r="U883" s="138"/>
      <c r="X883" s="138"/>
    </row>
    <row r="884" spans="4:24" ht="12.75" customHeight="1" x14ac:dyDescent="0.25">
      <c r="D884" s="138"/>
      <c r="E884" s="138"/>
      <c r="L884" s="138"/>
      <c r="O884" s="138"/>
      <c r="R884" s="138"/>
      <c r="U884" s="138"/>
      <c r="X884" s="138"/>
    </row>
    <row r="885" spans="4:24" ht="12.75" customHeight="1" x14ac:dyDescent="0.25">
      <c r="D885" s="138"/>
      <c r="E885" s="138"/>
      <c r="L885" s="138"/>
      <c r="O885" s="138"/>
      <c r="R885" s="138"/>
      <c r="U885" s="138"/>
      <c r="X885" s="138"/>
    </row>
    <row r="886" spans="4:24" ht="12.75" customHeight="1" x14ac:dyDescent="0.25">
      <c r="D886" s="138"/>
      <c r="E886" s="138"/>
      <c r="L886" s="138"/>
      <c r="O886" s="138"/>
      <c r="R886" s="138"/>
      <c r="U886" s="138"/>
      <c r="X886" s="138"/>
    </row>
    <row r="887" spans="4:24" ht="12.75" customHeight="1" x14ac:dyDescent="0.25">
      <c r="D887" s="138"/>
      <c r="E887" s="138"/>
      <c r="L887" s="138"/>
      <c r="O887" s="138"/>
      <c r="R887" s="138"/>
      <c r="U887" s="138"/>
      <c r="X887" s="138"/>
    </row>
    <row r="888" spans="4:24" ht="12.75" customHeight="1" x14ac:dyDescent="0.25">
      <c r="D888" s="138"/>
      <c r="E888" s="138"/>
      <c r="L888" s="138"/>
      <c r="O888" s="138"/>
      <c r="R888" s="138"/>
      <c r="U888" s="138"/>
      <c r="X888" s="138"/>
    </row>
    <row r="889" spans="4:24" ht="12.75" customHeight="1" x14ac:dyDescent="0.25">
      <c r="D889" s="138"/>
      <c r="E889" s="138"/>
      <c r="L889" s="138"/>
      <c r="O889" s="138"/>
      <c r="R889" s="138"/>
      <c r="U889" s="138"/>
      <c r="X889" s="138"/>
    </row>
    <row r="890" spans="4:24" ht="12.75" customHeight="1" x14ac:dyDescent="0.25">
      <c r="D890" s="138"/>
      <c r="E890" s="138"/>
      <c r="L890" s="138"/>
      <c r="O890" s="138"/>
      <c r="R890" s="138"/>
      <c r="U890" s="138"/>
      <c r="X890" s="138"/>
    </row>
    <row r="891" spans="4:24" ht="12.75" customHeight="1" x14ac:dyDescent="0.25">
      <c r="D891" s="138"/>
      <c r="E891" s="138"/>
      <c r="L891" s="138"/>
      <c r="O891" s="138"/>
      <c r="R891" s="138"/>
      <c r="U891" s="138"/>
      <c r="X891" s="138"/>
    </row>
    <row r="892" spans="4:24" ht="12.75" customHeight="1" x14ac:dyDescent="0.25">
      <c r="D892" s="138"/>
      <c r="E892" s="138"/>
      <c r="L892" s="138"/>
      <c r="O892" s="138"/>
      <c r="R892" s="138"/>
      <c r="U892" s="138"/>
      <c r="X892" s="138"/>
    </row>
    <row r="893" spans="4:24" ht="12.75" customHeight="1" x14ac:dyDescent="0.25">
      <c r="D893" s="138"/>
      <c r="E893" s="138"/>
      <c r="L893" s="138"/>
      <c r="O893" s="138"/>
      <c r="R893" s="138"/>
      <c r="U893" s="138"/>
      <c r="X893" s="138"/>
    </row>
    <row r="894" spans="4:24" ht="12.75" customHeight="1" x14ac:dyDescent="0.25">
      <c r="D894" s="138"/>
      <c r="E894" s="138"/>
      <c r="L894" s="138"/>
      <c r="O894" s="138"/>
      <c r="R894" s="138"/>
      <c r="U894" s="138"/>
      <c r="X894" s="138"/>
    </row>
    <row r="895" spans="4:24" ht="12.75" customHeight="1" x14ac:dyDescent="0.25">
      <c r="D895" s="138"/>
      <c r="E895" s="138"/>
      <c r="L895" s="138"/>
      <c r="O895" s="138"/>
      <c r="R895" s="138"/>
      <c r="U895" s="138"/>
      <c r="X895" s="138"/>
    </row>
    <row r="896" spans="4:24" ht="12.75" customHeight="1" x14ac:dyDescent="0.25">
      <c r="D896" s="138"/>
      <c r="E896" s="138"/>
      <c r="L896" s="138"/>
      <c r="O896" s="138"/>
      <c r="R896" s="138"/>
      <c r="U896" s="138"/>
      <c r="X896" s="138"/>
    </row>
    <row r="897" spans="4:24" ht="12.75" customHeight="1" x14ac:dyDescent="0.25">
      <c r="D897" s="138"/>
      <c r="E897" s="138"/>
      <c r="L897" s="138"/>
      <c r="O897" s="138"/>
      <c r="R897" s="138"/>
      <c r="U897" s="138"/>
      <c r="X897" s="138"/>
    </row>
    <row r="898" spans="4:24" ht="12.75" customHeight="1" x14ac:dyDescent="0.25">
      <c r="D898" s="138"/>
      <c r="E898" s="138"/>
      <c r="L898" s="138"/>
      <c r="O898" s="138"/>
      <c r="R898" s="138"/>
      <c r="U898" s="138"/>
      <c r="X898" s="138"/>
    </row>
    <row r="899" spans="4:24" ht="12.75" customHeight="1" x14ac:dyDescent="0.25">
      <c r="D899" s="138"/>
      <c r="E899" s="138"/>
      <c r="L899" s="138"/>
      <c r="O899" s="138"/>
      <c r="R899" s="138"/>
      <c r="U899" s="138"/>
      <c r="X899" s="138"/>
    </row>
    <row r="900" spans="4:24" ht="12.75" customHeight="1" x14ac:dyDescent="0.25">
      <c r="D900" s="138"/>
      <c r="E900" s="138"/>
      <c r="L900" s="138"/>
      <c r="O900" s="138"/>
      <c r="R900" s="138"/>
      <c r="U900" s="138"/>
      <c r="X900" s="138"/>
    </row>
    <row r="901" spans="4:24" ht="12.75" customHeight="1" x14ac:dyDescent="0.25">
      <c r="D901" s="138"/>
      <c r="E901" s="138"/>
      <c r="L901" s="138"/>
      <c r="O901" s="138"/>
      <c r="R901" s="138"/>
      <c r="U901" s="138"/>
      <c r="X901" s="138"/>
    </row>
    <row r="902" spans="4:24" ht="12.75" customHeight="1" x14ac:dyDescent="0.25">
      <c r="D902" s="138"/>
      <c r="E902" s="138"/>
      <c r="L902" s="138"/>
      <c r="O902" s="138"/>
      <c r="R902" s="138"/>
      <c r="U902" s="138"/>
      <c r="X902" s="138"/>
    </row>
    <row r="903" spans="4:24" ht="12.75" customHeight="1" x14ac:dyDescent="0.25">
      <c r="D903" s="138"/>
      <c r="E903" s="138"/>
      <c r="L903" s="138"/>
      <c r="O903" s="138"/>
      <c r="R903" s="138"/>
      <c r="U903" s="138"/>
      <c r="X903" s="138"/>
    </row>
    <row r="904" spans="4:24" ht="12.75" customHeight="1" x14ac:dyDescent="0.25">
      <c r="D904" s="138"/>
      <c r="E904" s="138"/>
      <c r="L904" s="138"/>
      <c r="O904" s="138"/>
      <c r="R904" s="138"/>
      <c r="U904" s="138"/>
      <c r="X904" s="138"/>
    </row>
    <row r="905" spans="4:24" ht="12.75" customHeight="1" x14ac:dyDescent="0.25">
      <c r="D905" s="138"/>
      <c r="E905" s="138"/>
      <c r="L905" s="138"/>
      <c r="O905" s="138"/>
      <c r="R905" s="138"/>
      <c r="U905" s="138"/>
      <c r="X905" s="138"/>
    </row>
    <row r="906" spans="4:24" ht="12.75" customHeight="1" x14ac:dyDescent="0.25">
      <c r="D906" s="138"/>
      <c r="E906" s="138"/>
      <c r="L906" s="138"/>
      <c r="O906" s="138"/>
      <c r="R906" s="138"/>
      <c r="U906" s="138"/>
      <c r="X906" s="138"/>
    </row>
    <row r="907" spans="4:24" ht="12.75" customHeight="1" x14ac:dyDescent="0.25">
      <c r="D907" s="138"/>
      <c r="E907" s="138"/>
      <c r="L907" s="138"/>
      <c r="O907" s="138"/>
      <c r="R907" s="138"/>
      <c r="U907" s="138"/>
      <c r="X907" s="138"/>
    </row>
    <row r="908" spans="4:24" ht="12.75" customHeight="1" x14ac:dyDescent="0.25">
      <c r="D908" s="138"/>
      <c r="E908" s="138"/>
      <c r="L908" s="138"/>
      <c r="O908" s="138"/>
      <c r="R908" s="138"/>
      <c r="U908" s="138"/>
      <c r="X908" s="138"/>
    </row>
    <row r="909" spans="4:24" ht="12.75" customHeight="1" x14ac:dyDescent="0.25">
      <c r="D909" s="138"/>
      <c r="E909" s="138"/>
      <c r="L909" s="138"/>
      <c r="O909" s="138"/>
      <c r="R909" s="138"/>
      <c r="U909" s="138"/>
      <c r="X909" s="138"/>
    </row>
    <row r="910" spans="4:24" ht="12.75" customHeight="1" x14ac:dyDescent="0.25">
      <c r="D910" s="138"/>
      <c r="E910" s="138"/>
      <c r="L910" s="138"/>
      <c r="O910" s="138"/>
      <c r="R910" s="138"/>
      <c r="U910" s="138"/>
      <c r="X910" s="138"/>
    </row>
    <row r="911" spans="4:24" ht="12.75" customHeight="1" x14ac:dyDescent="0.25">
      <c r="D911" s="138"/>
      <c r="E911" s="138"/>
      <c r="L911" s="138"/>
      <c r="O911" s="138"/>
      <c r="R911" s="138"/>
      <c r="U911" s="138"/>
      <c r="X911" s="138"/>
    </row>
    <row r="912" spans="4:24" ht="12.75" customHeight="1" x14ac:dyDescent="0.25">
      <c r="D912" s="138"/>
      <c r="E912" s="138"/>
      <c r="L912" s="138"/>
      <c r="O912" s="138"/>
      <c r="R912" s="138"/>
      <c r="U912" s="138"/>
      <c r="X912" s="138"/>
    </row>
    <row r="913" spans="4:24" ht="12.75" customHeight="1" x14ac:dyDescent="0.25">
      <c r="D913" s="138"/>
      <c r="E913" s="138"/>
      <c r="L913" s="138"/>
      <c r="O913" s="138"/>
      <c r="R913" s="138"/>
      <c r="U913" s="138"/>
      <c r="X913" s="138"/>
    </row>
    <row r="914" spans="4:24" ht="12.75" customHeight="1" x14ac:dyDescent="0.25">
      <c r="D914" s="138"/>
      <c r="E914" s="138"/>
      <c r="L914" s="138"/>
      <c r="O914" s="138"/>
      <c r="R914" s="138"/>
      <c r="U914" s="138"/>
      <c r="X914" s="138"/>
    </row>
    <row r="915" spans="4:24" ht="12.75" customHeight="1" x14ac:dyDescent="0.25">
      <c r="D915" s="138"/>
      <c r="E915" s="138"/>
      <c r="L915" s="138"/>
      <c r="O915" s="138"/>
      <c r="R915" s="138"/>
      <c r="U915" s="138"/>
      <c r="X915" s="138"/>
    </row>
    <row r="916" spans="4:24" ht="12.75" customHeight="1" x14ac:dyDescent="0.25">
      <c r="D916" s="138"/>
      <c r="E916" s="138"/>
      <c r="L916" s="138"/>
      <c r="O916" s="138"/>
      <c r="R916" s="138"/>
      <c r="U916" s="138"/>
      <c r="X916" s="138"/>
    </row>
    <row r="917" spans="4:24" ht="12.75" customHeight="1" x14ac:dyDescent="0.25">
      <c r="D917" s="138"/>
      <c r="E917" s="138"/>
      <c r="L917" s="138"/>
      <c r="O917" s="138"/>
      <c r="R917" s="138"/>
      <c r="U917" s="138"/>
      <c r="X917" s="138"/>
    </row>
    <row r="918" spans="4:24" ht="12.75" customHeight="1" x14ac:dyDescent="0.25">
      <c r="D918" s="138"/>
      <c r="E918" s="138"/>
      <c r="L918" s="138"/>
      <c r="O918" s="138"/>
      <c r="R918" s="138"/>
      <c r="U918" s="138"/>
      <c r="X918" s="138"/>
    </row>
    <row r="919" spans="4:24" ht="12.75" customHeight="1" x14ac:dyDescent="0.25">
      <c r="D919" s="138"/>
      <c r="E919" s="138"/>
      <c r="L919" s="138"/>
      <c r="O919" s="138"/>
      <c r="R919" s="138"/>
      <c r="U919" s="138"/>
      <c r="X919" s="138"/>
    </row>
    <row r="920" spans="4:24" ht="12.75" customHeight="1" x14ac:dyDescent="0.25">
      <c r="D920" s="138"/>
      <c r="E920" s="138"/>
      <c r="L920" s="138"/>
      <c r="O920" s="138"/>
      <c r="R920" s="138"/>
      <c r="U920" s="138"/>
      <c r="X920" s="138"/>
    </row>
    <row r="921" spans="4:24" ht="12.75" customHeight="1" x14ac:dyDescent="0.25">
      <c r="D921" s="138"/>
      <c r="E921" s="138"/>
      <c r="L921" s="138"/>
      <c r="O921" s="138"/>
      <c r="R921" s="138"/>
      <c r="U921" s="138"/>
      <c r="X921" s="138"/>
    </row>
    <row r="922" spans="4:24" ht="12.75" customHeight="1" x14ac:dyDescent="0.25">
      <c r="D922" s="138"/>
      <c r="E922" s="138"/>
      <c r="L922" s="138"/>
      <c r="O922" s="138"/>
      <c r="R922" s="138"/>
      <c r="U922" s="138"/>
      <c r="X922" s="138"/>
    </row>
    <row r="923" spans="4:24" ht="12.75" customHeight="1" x14ac:dyDescent="0.25">
      <c r="D923" s="138"/>
      <c r="E923" s="138"/>
      <c r="L923" s="138"/>
      <c r="O923" s="138"/>
      <c r="R923" s="138"/>
      <c r="U923" s="138"/>
      <c r="X923" s="138"/>
    </row>
    <row r="924" spans="4:24" ht="12.75" customHeight="1" x14ac:dyDescent="0.25">
      <c r="D924" s="138"/>
      <c r="E924" s="138"/>
      <c r="L924" s="138"/>
      <c r="O924" s="138"/>
      <c r="R924" s="138"/>
      <c r="U924" s="138"/>
      <c r="X924" s="138"/>
    </row>
    <row r="925" spans="4:24" ht="12.75" customHeight="1" x14ac:dyDescent="0.25">
      <c r="D925" s="138"/>
      <c r="E925" s="138"/>
      <c r="L925" s="138"/>
      <c r="O925" s="138"/>
      <c r="R925" s="138"/>
      <c r="U925" s="138"/>
      <c r="X925" s="138"/>
    </row>
    <row r="926" spans="4:24" ht="12.75" customHeight="1" x14ac:dyDescent="0.25">
      <c r="D926" s="138"/>
      <c r="E926" s="138"/>
      <c r="L926" s="138"/>
      <c r="O926" s="138"/>
      <c r="R926" s="138"/>
      <c r="U926" s="138"/>
      <c r="X926" s="138"/>
    </row>
    <row r="927" spans="4:24" ht="12.75" customHeight="1" x14ac:dyDescent="0.25">
      <c r="D927" s="138"/>
      <c r="E927" s="138"/>
      <c r="L927" s="138"/>
      <c r="O927" s="138"/>
      <c r="R927" s="138"/>
      <c r="U927" s="138"/>
      <c r="X927" s="138"/>
    </row>
    <row r="928" spans="4:24" ht="12.75" customHeight="1" x14ac:dyDescent="0.25">
      <c r="D928" s="138"/>
      <c r="E928" s="138"/>
      <c r="L928" s="138"/>
      <c r="O928" s="138"/>
      <c r="R928" s="138"/>
      <c r="U928" s="138"/>
      <c r="X928" s="138"/>
    </row>
    <row r="929" spans="4:24" ht="12.75" customHeight="1" x14ac:dyDescent="0.25">
      <c r="D929" s="138"/>
      <c r="E929" s="138"/>
      <c r="L929" s="138"/>
      <c r="O929" s="138"/>
      <c r="R929" s="138"/>
      <c r="U929" s="138"/>
      <c r="X929" s="138"/>
    </row>
    <row r="930" spans="4:24" ht="12.75" customHeight="1" x14ac:dyDescent="0.25">
      <c r="D930" s="138"/>
      <c r="E930" s="138"/>
      <c r="L930" s="138"/>
      <c r="O930" s="138"/>
      <c r="R930" s="138"/>
      <c r="U930" s="138"/>
      <c r="X930" s="138"/>
    </row>
    <row r="931" spans="4:24" ht="12.75" customHeight="1" x14ac:dyDescent="0.25">
      <c r="D931" s="138"/>
      <c r="E931" s="138"/>
      <c r="L931" s="138"/>
      <c r="O931" s="138"/>
      <c r="R931" s="138"/>
      <c r="U931" s="138"/>
      <c r="X931" s="138"/>
    </row>
    <row r="932" spans="4:24" ht="12.75" customHeight="1" x14ac:dyDescent="0.25">
      <c r="D932" s="138"/>
      <c r="E932" s="138"/>
      <c r="L932" s="138"/>
      <c r="O932" s="138"/>
      <c r="R932" s="138"/>
      <c r="U932" s="138"/>
      <c r="X932" s="138"/>
    </row>
    <row r="933" spans="4:24" ht="12.75" customHeight="1" x14ac:dyDescent="0.25">
      <c r="D933" s="138"/>
      <c r="E933" s="138"/>
      <c r="L933" s="138"/>
      <c r="O933" s="138"/>
      <c r="R933" s="138"/>
      <c r="U933" s="138"/>
      <c r="X933" s="138"/>
    </row>
    <row r="934" spans="4:24" ht="12.75" customHeight="1" x14ac:dyDescent="0.25">
      <c r="D934" s="138"/>
      <c r="E934" s="138"/>
      <c r="L934" s="138"/>
      <c r="O934" s="138"/>
      <c r="R934" s="138"/>
      <c r="U934" s="138"/>
      <c r="X934" s="138"/>
    </row>
    <row r="935" spans="4:24" ht="12.75" customHeight="1" x14ac:dyDescent="0.25">
      <c r="D935" s="138"/>
      <c r="E935" s="138"/>
      <c r="L935" s="138"/>
      <c r="O935" s="138"/>
      <c r="R935" s="138"/>
      <c r="U935" s="138"/>
      <c r="X935" s="138"/>
    </row>
    <row r="936" spans="4:24" ht="12.75" customHeight="1" x14ac:dyDescent="0.25">
      <c r="D936" s="138"/>
      <c r="E936" s="138"/>
      <c r="L936" s="138"/>
      <c r="O936" s="138"/>
      <c r="R936" s="138"/>
      <c r="U936" s="138"/>
      <c r="X936" s="138"/>
    </row>
    <row r="937" spans="4:24" ht="12.75" customHeight="1" x14ac:dyDescent="0.25">
      <c r="D937" s="138"/>
      <c r="E937" s="138"/>
      <c r="L937" s="138"/>
      <c r="O937" s="138"/>
      <c r="R937" s="138"/>
      <c r="U937" s="138"/>
      <c r="X937" s="138"/>
    </row>
    <row r="938" spans="4:24" ht="12.75" customHeight="1" x14ac:dyDescent="0.25">
      <c r="D938" s="138"/>
      <c r="E938" s="138"/>
      <c r="L938" s="138"/>
      <c r="O938" s="138"/>
      <c r="R938" s="138"/>
      <c r="U938" s="138"/>
      <c r="X938" s="138"/>
    </row>
    <row r="939" spans="4:24" ht="12.75" customHeight="1" x14ac:dyDescent="0.25">
      <c r="D939" s="138"/>
      <c r="E939" s="138"/>
      <c r="L939" s="138"/>
      <c r="O939" s="138"/>
      <c r="R939" s="138"/>
      <c r="U939" s="138"/>
      <c r="X939" s="138"/>
    </row>
    <row r="940" spans="4:24" ht="12.75" customHeight="1" x14ac:dyDescent="0.25">
      <c r="D940" s="138"/>
      <c r="E940" s="138"/>
      <c r="L940" s="138"/>
      <c r="O940" s="138"/>
      <c r="R940" s="138"/>
      <c r="U940" s="138"/>
      <c r="X940" s="138"/>
    </row>
    <row r="941" spans="4:24" ht="12.75" customHeight="1" x14ac:dyDescent="0.25">
      <c r="D941" s="138"/>
      <c r="E941" s="138"/>
      <c r="L941" s="138"/>
      <c r="O941" s="138"/>
      <c r="R941" s="138"/>
      <c r="U941" s="138"/>
      <c r="X941" s="138"/>
    </row>
    <row r="942" spans="4:24" ht="12.75" customHeight="1" x14ac:dyDescent="0.25">
      <c r="D942" s="138"/>
      <c r="E942" s="138"/>
      <c r="L942" s="138"/>
      <c r="O942" s="138"/>
      <c r="R942" s="138"/>
      <c r="U942" s="138"/>
      <c r="X942" s="138"/>
    </row>
    <row r="943" spans="4:24" ht="12.75" customHeight="1" x14ac:dyDescent="0.25">
      <c r="D943" s="138"/>
      <c r="E943" s="138"/>
      <c r="L943" s="138"/>
      <c r="O943" s="138"/>
      <c r="R943" s="138"/>
      <c r="U943" s="138"/>
      <c r="X943" s="138"/>
    </row>
    <row r="944" spans="4:24" ht="12.75" customHeight="1" x14ac:dyDescent="0.25">
      <c r="D944" s="138"/>
      <c r="E944" s="138"/>
      <c r="L944" s="138"/>
      <c r="O944" s="138"/>
      <c r="R944" s="138"/>
      <c r="U944" s="138"/>
      <c r="X944" s="138"/>
    </row>
    <row r="945" spans="4:24" ht="12.75" customHeight="1" x14ac:dyDescent="0.25">
      <c r="D945" s="138"/>
      <c r="E945" s="138"/>
      <c r="L945" s="138"/>
      <c r="O945" s="138"/>
      <c r="R945" s="138"/>
      <c r="U945" s="138"/>
      <c r="X945" s="138"/>
    </row>
    <row r="946" spans="4:24" ht="12.75" customHeight="1" x14ac:dyDescent="0.25">
      <c r="D946" s="138"/>
      <c r="E946" s="138"/>
      <c r="L946" s="138"/>
      <c r="O946" s="138"/>
      <c r="R946" s="138"/>
      <c r="U946" s="138"/>
      <c r="X946" s="138"/>
    </row>
    <row r="947" spans="4:24" ht="12.75" customHeight="1" x14ac:dyDescent="0.25">
      <c r="D947" s="138"/>
      <c r="E947" s="138"/>
      <c r="L947" s="138"/>
      <c r="O947" s="138"/>
      <c r="R947" s="138"/>
      <c r="U947" s="138"/>
      <c r="X947" s="138"/>
    </row>
    <row r="948" spans="4:24" ht="12.75" customHeight="1" x14ac:dyDescent="0.25">
      <c r="D948" s="138"/>
      <c r="E948" s="138"/>
      <c r="L948" s="138"/>
      <c r="O948" s="138"/>
      <c r="R948" s="138"/>
      <c r="U948" s="138"/>
      <c r="X948" s="138"/>
    </row>
    <row r="949" spans="4:24" ht="12.75" customHeight="1" x14ac:dyDescent="0.25">
      <c r="D949" s="138"/>
      <c r="E949" s="138"/>
      <c r="L949" s="138"/>
      <c r="O949" s="138"/>
      <c r="R949" s="138"/>
      <c r="U949" s="138"/>
      <c r="X949" s="138"/>
    </row>
    <row r="950" spans="4:24" ht="12.75" customHeight="1" x14ac:dyDescent="0.25">
      <c r="D950" s="138"/>
      <c r="E950" s="138"/>
      <c r="L950" s="138"/>
      <c r="O950" s="138"/>
      <c r="R950" s="138"/>
      <c r="U950" s="138"/>
      <c r="X950" s="138"/>
    </row>
    <row r="951" spans="4:24" ht="12.75" customHeight="1" x14ac:dyDescent="0.25">
      <c r="D951" s="138"/>
      <c r="E951" s="138"/>
      <c r="L951" s="138"/>
      <c r="O951" s="138"/>
      <c r="R951" s="138"/>
      <c r="U951" s="138"/>
      <c r="X951" s="138"/>
    </row>
    <row r="952" spans="4:24" ht="12.75" customHeight="1" x14ac:dyDescent="0.25">
      <c r="D952" s="138"/>
      <c r="E952" s="138"/>
      <c r="L952" s="138"/>
      <c r="O952" s="138"/>
      <c r="R952" s="138"/>
      <c r="U952" s="138"/>
      <c r="X952" s="138"/>
    </row>
    <row r="953" spans="4:24" ht="12.75" customHeight="1" x14ac:dyDescent="0.25">
      <c r="D953" s="138"/>
      <c r="E953" s="138"/>
      <c r="L953" s="138"/>
      <c r="O953" s="138"/>
      <c r="R953" s="138"/>
      <c r="U953" s="138"/>
      <c r="X953" s="138"/>
    </row>
    <row r="954" spans="4:24" ht="12.75" customHeight="1" x14ac:dyDescent="0.25">
      <c r="D954" s="138"/>
      <c r="E954" s="138"/>
      <c r="L954" s="138"/>
      <c r="O954" s="138"/>
      <c r="R954" s="138"/>
      <c r="U954" s="138"/>
      <c r="X954" s="138"/>
    </row>
    <row r="955" spans="4:24" ht="12.75" customHeight="1" x14ac:dyDescent="0.25">
      <c r="D955" s="138"/>
      <c r="E955" s="138"/>
      <c r="L955" s="138"/>
      <c r="O955" s="138"/>
      <c r="R955" s="138"/>
      <c r="U955" s="138"/>
      <c r="X955" s="138"/>
    </row>
    <row r="956" spans="4:24" ht="12.75" customHeight="1" x14ac:dyDescent="0.25">
      <c r="D956" s="138"/>
      <c r="E956" s="138"/>
      <c r="L956" s="138"/>
      <c r="O956" s="138"/>
      <c r="R956" s="138"/>
      <c r="U956" s="138"/>
      <c r="X956" s="138"/>
    </row>
    <row r="957" spans="4:24" ht="12.75" customHeight="1" x14ac:dyDescent="0.25">
      <c r="D957" s="138"/>
      <c r="E957" s="138"/>
      <c r="L957" s="138"/>
      <c r="O957" s="138"/>
      <c r="R957" s="138"/>
      <c r="U957" s="138"/>
      <c r="X957" s="138"/>
    </row>
    <row r="958" spans="4:24" ht="12.75" customHeight="1" x14ac:dyDescent="0.25">
      <c r="D958" s="138"/>
      <c r="E958" s="138"/>
      <c r="L958" s="138"/>
      <c r="O958" s="138"/>
      <c r="R958" s="138"/>
      <c r="U958" s="138"/>
      <c r="X958" s="138"/>
    </row>
    <row r="959" spans="4:24" ht="12.75" customHeight="1" x14ac:dyDescent="0.25">
      <c r="D959" s="138"/>
      <c r="E959" s="138"/>
      <c r="L959" s="138"/>
      <c r="O959" s="138"/>
      <c r="R959" s="138"/>
      <c r="U959" s="138"/>
      <c r="X959" s="138"/>
    </row>
    <row r="960" spans="4:24" ht="12.75" customHeight="1" x14ac:dyDescent="0.25">
      <c r="D960" s="138"/>
      <c r="E960" s="138"/>
      <c r="L960" s="138"/>
      <c r="O960" s="138"/>
      <c r="R960" s="138"/>
      <c r="U960" s="138"/>
      <c r="X960" s="138"/>
    </row>
    <row r="961" spans="4:24" ht="12.75" customHeight="1" x14ac:dyDescent="0.25">
      <c r="D961" s="138"/>
      <c r="E961" s="138"/>
      <c r="L961" s="138"/>
      <c r="O961" s="138"/>
      <c r="R961" s="138"/>
      <c r="U961" s="138"/>
      <c r="X961" s="138"/>
    </row>
    <row r="962" spans="4:24" ht="12.75" customHeight="1" x14ac:dyDescent="0.25">
      <c r="D962" s="138"/>
      <c r="E962" s="138"/>
      <c r="L962" s="138"/>
      <c r="O962" s="138"/>
      <c r="R962" s="138"/>
      <c r="U962" s="138"/>
      <c r="X962" s="138"/>
    </row>
    <row r="963" spans="4:24" ht="12.75" customHeight="1" x14ac:dyDescent="0.25">
      <c r="D963" s="138"/>
      <c r="E963" s="138"/>
      <c r="L963" s="138"/>
      <c r="O963" s="138"/>
      <c r="R963" s="138"/>
      <c r="U963" s="138"/>
      <c r="X963" s="138"/>
    </row>
    <row r="964" spans="4:24" ht="12.75" customHeight="1" x14ac:dyDescent="0.25">
      <c r="D964" s="138"/>
      <c r="E964" s="138"/>
      <c r="L964" s="138"/>
      <c r="O964" s="138"/>
      <c r="R964" s="138"/>
      <c r="U964" s="138"/>
      <c r="X964" s="138"/>
    </row>
    <row r="965" spans="4:24" ht="12.75" customHeight="1" x14ac:dyDescent="0.25">
      <c r="D965" s="138"/>
      <c r="E965" s="138"/>
      <c r="L965" s="138"/>
      <c r="O965" s="138"/>
      <c r="R965" s="138"/>
      <c r="U965" s="138"/>
      <c r="X965" s="138"/>
    </row>
    <row r="966" spans="4:24" ht="12.75" customHeight="1" x14ac:dyDescent="0.25">
      <c r="D966" s="138"/>
      <c r="E966" s="138"/>
      <c r="L966" s="138"/>
      <c r="O966" s="138"/>
      <c r="R966" s="138"/>
      <c r="U966" s="138"/>
      <c r="X966" s="138"/>
    </row>
    <row r="967" spans="4:24" ht="12.75" customHeight="1" x14ac:dyDescent="0.25">
      <c r="D967" s="138"/>
      <c r="E967" s="138"/>
      <c r="L967" s="138"/>
      <c r="O967" s="138"/>
      <c r="R967" s="138"/>
      <c r="U967" s="138"/>
      <c r="X967" s="138"/>
    </row>
    <row r="968" spans="4:24" ht="12.75" customHeight="1" x14ac:dyDescent="0.25">
      <c r="D968" s="138"/>
      <c r="E968" s="138"/>
      <c r="L968" s="138"/>
      <c r="O968" s="138"/>
      <c r="R968" s="138"/>
      <c r="U968" s="138"/>
      <c r="X968" s="138"/>
    </row>
    <row r="969" spans="4:24" ht="12.75" customHeight="1" x14ac:dyDescent="0.25">
      <c r="D969" s="138"/>
      <c r="E969" s="138"/>
      <c r="L969" s="138"/>
      <c r="O969" s="138"/>
      <c r="R969" s="138"/>
      <c r="U969" s="138"/>
      <c r="X969" s="138"/>
    </row>
    <row r="970" spans="4:24" ht="12.75" customHeight="1" x14ac:dyDescent="0.25">
      <c r="D970" s="138"/>
      <c r="E970" s="138"/>
      <c r="L970" s="138"/>
      <c r="O970" s="138"/>
      <c r="R970" s="138"/>
      <c r="U970" s="138"/>
      <c r="X970" s="138"/>
    </row>
    <row r="971" spans="4:24" ht="12.75" customHeight="1" x14ac:dyDescent="0.25">
      <c r="D971" s="138"/>
      <c r="E971" s="138"/>
      <c r="L971" s="138"/>
      <c r="O971" s="138"/>
      <c r="R971" s="138"/>
      <c r="U971" s="138"/>
      <c r="X971" s="138"/>
    </row>
    <row r="972" spans="4:24" ht="12.75" customHeight="1" x14ac:dyDescent="0.25">
      <c r="D972" s="138"/>
      <c r="E972" s="138"/>
      <c r="L972" s="138"/>
      <c r="O972" s="138"/>
      <c r="R972" s="138"/>
      <c r="U972" s="138"/>
      <c r="X972" s="138"/>
    </row>
    <row r="973" spans="4:24" ht="12.75" customHeight="1" x14ac:dyDescent="0.25">
      <c r="D973" s="138"/>
      <c r="E973" s="138"/>
      <c r="L973" s="138"/>
      <c r="O973" s="138"/>
      <c r="R973" s="138"/>
      <c r="U973" s="138"/>
      <c r="X973" s="138"/>
    </row>
    <row r="974" spans="4:24" ht="12.75" customHeight="1" x14ac:dyDescent="0.25">
      <c r="D974" s="138"/>
      <c r="E974" s="138"/>
      <c r="L974" s="138"/>
      <c r="O974" s="138"/>
      <c r="R974" s="138"/>
      <c r="U974" s="138"/>
      <c r="X974" s="138"/>
    </row>
    <row r="975" spans="4:24" ht="12.75" customHeight="1" x14ac:dyDescent="0.25">
      <c r="D975" s="138"/>
      <c r="E975" s="138"/>
      <c r="L975" s="138"/>
      <c r="O975" s="138"/>
      <c r="R975" s="138"/>
      <c r="U975" s="138"/>
      <c r="X975" s="138"/>
    </row>
    <row r="976" spans="4:24" ht="12.75" customHeight="1" x14ac:dyDescent="0.25">
      <c r="D976" s="138"/>
      <c r="E976" s="138"/>
      <c r="L976" s="138"/>
      <c r="O976" s="138"/>
      <c r="R976" s="138"/>
      <c r="U976" s="138"/>
      <c r="X976" s="138"/>
    </row>
    <row r="977" spans="4:24" ht="12.75" customHeight="1" x14ac:dyDescent="0.25">
      <c r="D977" s="138"/>
      <c r="E977" s="138"/>
      <c r="L977" s="138"/>
      <c r="O977" s="138"/>
      <c r="R977" s="138"/>
      <c r="U977" s="138"/>
      <c r="X977" s="138"/>
    </row>
    <row r="978" spans="4:24" ht="12.75" customHeight="1" x14ac:dyDescent="0.25">
      <c r="D978" s="138"/>
      <c r="E978" s="138"/>
      <c r="L978" s="138"/>
      <c r="O978" s="138"/>
      <c r="R978" s="138"/>
      <c r="U978" s="138"/>
      <c r="X978" s="138"/>
    </row>
    <row r="979" spans="4:24" ht="12.75" customHeight="1" x14ac:dyDescent="0.25">
      <c r="D979" s="138"/>
      <c r="E979" s="138"/>
      <c r="L979" s="138"/>
      <c r="O979" s="138"/>
      <c r="R979" s="138"/>
      <c r="U979" s="138"/>
      <c r="X979" s="138"/>
    </row>
    <row r="980" spans="4:24" ht="12.75" customHeight="1" x14ac:dyDescent="0.25">
      <c r="D980" s="138"/>
      <c r="E980" s="138"/>
      <c r="L980" s="138"/>
      <c r="O980" s="138"/>
      <c r="R980" s="138"/>
      <c r="U980" s="138"/>
      <c r="X980" s="138"/>
    </row>
    <row r="981" spans="4:24" ht="12.75" customHeight="1" x14ac:dyDescent="0.25">
      <c r="D981" s="138"/>
      <c r="E981" s="138"/>
      <c r="L981" s="138"/>
      <c r="O981" s="138"/>
      <c r="R981" s="138"/>
      <c r="U981" s="138"/>
      <c r="X981" s="138"/>
    </row>
    <row r="982" spans="4:24" ht="12.75" customHeight="1" x14ac:dyDescent="0.25">
      <c r="D982" s="138"/>
      <c r="E982" s="138"/>
      <c r="L982" s="138"/>
      <c r="O982" s="138"/>
      <c r="R982" s="138"/>
      <c r="U982" s="138"/>
      <c r="X982" s="138"/>
    </row>
    <row r="983" spans="4:24" ht="12.75" customHeight="1" x14ac:dyDescent="0.25">
      <c r="D983" s="138"/>
      <c r="E983" s="138"/>
      <c r="L983" s="138"/>
      <c r="O983" s="138"/>
      <c r="R983" s="138"/>
      <c r="U983" s="138"/>
      <c r="X983" s="138"/>
    </row>
    <row r="984" spans="4:24" ht="12.75" customHeight="1" x14ac:dyDescent="0.25">
      <c r="D984" s="138"/>
      <c r="E984" s="138"/>
      <c r="L984" s="138"/>
      <c r="O984" s="138"/>
      <c r="R984" s="138"/>
      <c r="U984" s="138"/>
      <c r="X984" s="138"/>
    </row>
    <row r="985" spans="4:24" ht="12.75" customHeight="1" x14ac:dyDescent="0.25">
      <c r="D985" s="138"/>
      <c r="E985" s="138"/>
      <c r="L985" s="138"/>
      <c r="O985" s="138"/>
      <c r="R985" s="138"/>
      <c r="U985" s="138"/>
      <c r="X985" s="138"/>
    </row>
    <row r="986" spans="4:24" ht="12.75" customHeight="1" x14ac:dyDescent="0.25">
      <c r="D986" s="138"/>
      <c r="E986" s="138"/>
      <c r="L986" s="138"/>
      <c r="O986" s="138"/>
      <c r="R986" s="138"/>
      <c r="U986" s="138"/>
      <c r="X986" s="138"/>
    </row>
    <row r="987" spans="4:24" ht="12.75" customHeight="1" x14ac:dyDescent="0.25">
      <c r="D987" s="138"/>
      <c r="E987" s="138"/>
      <c r="L987" s="138"/>
      <c r="O987" s="138"/>
      <c r="R987" s="138"/>
      <c r="U987" s="138"/>
      <c r="X987" s="138"/>
    </row>
    <row r="988" spans="4:24" ht="12.75" customHeight="1" x14ac:dyDescent="0.25">
      <c r="D988" s="138"/>
      <c r="E988" s="138"/>
      <c r="L988" s="138"/>
      <c r="O988" s="138"/>
      <c r="R988" s="138"/>
      <c r="U988" s="138"/>
      <c r="X988" s="138"/>
    </row>
    <row r="989" spans="4:24" ht="12.75" customHeight="1" x14ac:dyDescent="0.25">
      <c r="D989" s="138"/>
      <c r="E989" s="138"/>
      <c r="L989" s="138"/>
      <c r="O989" s="138"/>
      <c r="R989" s="138"/>
      <c r="U989" s="138"/>
      <c r="X989" s="138"/>
    </row>
    <row r="990" spans="4:24" ht="12.75" customHeight="1" x14ac:dyDescent="0.25">
      <c r="D990" s="138"/>
      <c r="E990" s="138"/>
      <c r="L990" s="138"/>
      <c r="O990" s="138"/>
      <c r="R990" s="138"/>
      <c r="U990" s="138"/>
      <c r="X990" s="138"/>
    </row>
    <row r="991" spans="4:24" ht="12.75" customHeight="1" x14ac:dyDescent="0.25">
      <c r="D991" s="138"/>
      <c r="E991" s="138"/>
      <c r="L991" s="138"/>
      <c r="O991" s="138"/>
      <c r="R991" s="138"/>
      <c r="U991" s="138"/>
      <c r="X991" s="138"/>
    </row>
    <row r="992" spans="4:24" ht="12.75" customHeight="1" x14ac:dyDescent="0.25">
      <c r="D992" s="138"/>
      <c r="E992" s="138"/>
      <c r="L992" s="138"/>
      <c r="O992" s="138"/>
      <c r="R992" s="138"/>
      <c r="U992" s="138"/>
      <c r="X992" s="138"/>
    </row>
    <row r="993" spans="4:24" ht="12.75" customHeight="1" x14ac:dyDescent="0.25">
      <c r="D993" s="138"/>
      <c r="E993" s="138"/>
      <c r="L993" s="138"/>
      <c r="O993" s="138"/>
      <c r="R993" s="138"/>
      <c r="U993" s="138"/>
      <c r="X993" s="138"/>
    </row>
    <row r="994" spans="4:24" ht="12.75" customHeight="1" x14ac:dyDescent="0.25">
      <c r="D994" s="138"/>
      <c r="E994" s="138"/>
      <c r="L994" s="138"/>
      <c r="O994" s="138"/>
      <c r="R994" s="138"/>
      <c r="U994" s="138"/>
      <c r="X994" s="138"/>
    </row>
    <row r="995" spans="4:24" ht="12.75" customHeight="1" x14ac:dyDescent="0.25">
      <c r="D995" s="138"/>
      <c r="E995" s="138"/>
      <c r="L995" s="138"/>
      <c r="O995" s="138"/>
      <c r="R995" s="138"/>
      <c r="U995" s="138"/>
      <c r="X995" s="138"/>
    </row>
    <row r="996" spans="4:24" ht="12.75" customHeight="1" x14ac:dyDescent="0.25">
      <c r="D996" s="138"/>
      <c r="E996" s="138"/>
      <c r="L996" s="138"/>
      <c r="O996" s="138"/>
      <c r="R996" s="138"/>
      <c r="U996" s="138"/>
      <c r="X996" s="138"/>
    </row>
    <row r="997" spans="4:24" ht="12.75" customHeight="1" x14ac:dyDescent="0.25">
      <c r="D997" s="138"/>
      <c r="E997" s="138"/>
      <c r="L997" s="138"/>
      <c r="O997" s="138"/>
      <c r="R997" s="138"/>
      <c r="U997" s="138"/>
      <c r="X997" s="138"/>
    </row>
    <row r="998" spans="4:24" ht="12.75" customHeight="1" x14ac:dyDescent="0.25">
      <c r="D998" s="138"/>
      <c r="E998" s="138"/>
      <c r="L998" s="138"/>
      <c r="O998" s="138"/>
      <c r="R998" s="138"/>
      <c r="U998" s="138"/>
      <c r="X998" s="138"/>
    </row>
    <row r="999" spans="4:24" ht="12.75" customHeight="1" x14ac:dyDescent="0.25">
      <c r="D999" s="138"/>
      <c r="E999" s="138"/>
      <c r="L999" s="138"/>
      <c r="O999" s="138"/>
      <c r="R999" s="138"/>
      <c r="U999" s="138"/>
      <c r="X999" s="138"/>
    </row>
    <row r="1000" spans="4:24" ht="12.75" customHeight="1" x14ac:dyDescent="0.25">
      <c r="D1000" s="138"/>
      <c r="E1000" s="138"/>
      <c r="L1000" s="138"/>
      <c r="O1000" s="138"/>
      <c r="R1000" s="138"/>
      <c r="U1000" s="138"/>
      <c r="X1000" s="138"/>
    </row>
  </sheetData>
  <pageMargins left="0.7" right="0.7" top="0.75" bottom="0.75" header="0" footer="0"/>
  <pageSetup orientation="landscape"/>
  <headerFooter>
    <oddHeader>&amp;C&amp;F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X1000"/>
  <sheetViews>
    <sheetView workbookViewId="0">
      <pane xSplit="21" ySplit="167" topLeftCell="V168" activePane="bottomRight" state="frozen"/>
      <selection pane="topRight" activeCell="V1" sqref="V1"/>
      <selection pane="bottomLeft" activeCell="A168" sqref="A168"/>
      <selection pane="bottomRight" activeCell="V168" sqref="V168"/>
    </sheetView>
  </sheetViews>
  <sheetFormatPr baseColWidth="10" defaultColWidth="14.44140625" defaultRowHeight="15" customHeight="1" x14ac:dyDescent="0.25"/>
  <cols>
    <col min="1" max="1" width="14.77734375" customWidth="1"/>
    <col min="2" max="2" width="21.6640625" customWidth="1"/>
    <col min="3" max="3" width="28.44140625" customWidth="1"/>
    <col min="4" max="4" width="7.6640625" customWidth="1"/>
    <col min="5" max="5" width="8" customWidth="1"/>
    <col min="6" max="6" width="5.33203125" customWidth="1"/>
    <col min="7" max="7" width="12.33203125" customWidth="1"/>
    <col min="8" max="8" width="18.33203125" customWidth="1"/>
    <col min="9" max="9" width="2.6640625" customWidth="1"/>
    <col min="10" max="10" width="4.109375" hidden="1" customWidth="1"/>
    <col min="11" max="11" width="10" hidden="1" customWidth="1"/>
    <col min="12" max="12" width="5.6640625" hidden="1" customWidth="1"/>
    <col min="13" max="13" width="6.6640625" hidden="1" customWidth="1"/>
    <col min="14" max="14" width="10" hidden="1" customWidth="1"/>
    <col min="15" max="15" width="7.109375" hidden="1" customWidth="1"/>
    <col min="16" max="16" width="6.6640625" hidden="1" customWidth="1"/>
    <col min="17" max="17" width="10.6640625" hidden="1" customWidth="1"/>
    <col min="18" max="19" width="6.6640625" hidden="1" customWidth="1"/>
    <col min="20" max="20" width="10.6640625" hidden="1" customWidth="1"/>
    <col min="21" max="21" width="6.44140625" hidden="1" customWidth="1"/>
    <col min="22" max="22" width="6.6640625" customWidth="1"/>
    <col min="23" max="26" width="8" customWidth="1"/>
  </cols>
  <sheetData>
    <row r="1" spans="2:24" ht="12.75" customHeight="1" x14ac:dyDescent="0.25">
      <c r="B1" s="96"/>
      <c r="C1" s="96"/>
      <c r="D1" s="97"/>
      <c r="E1" s="97"/>
      <c r="F1" s="96"/>
      <c r="G1" s="96"/>
      <c r="H1" s="96"/>
      <c r="L1" s="138"/>
      <c r="O1" s="138"/>
      <c r="R1" s="138"/>
      <c r="U1" s="138"/>
      <c r="X1" s="138"/>
    </row>
    <row r="2" spans="2:24" ht="12.75" customHeight="1" x14ac:dyDescent="0.25">
      <c r="B2" s="96"/>
      <c r="C2" s="96"/>
      <c r="D2" s="97"/>
      <c r="E2" s="97"/>
      <c r="F2" s="96"/>
      <c r="G2" s="96"/>
      <c r="H2" s="96"/>
      <c r="L2" s="138"/>
      <c r="O2" s="138"/>
      <c r="R2" s="138"/>
      <c r="U2" s="138"/>
      <c r="X2" s="138"/>
    </row>
    <row r="3" spans="2:24" ht="12.75" customHeight="1" x14ac:dyDescent="0.25">
      <c r="B3" s="96"/>
      <c r="C3" s="96"/>
      <c r="D3" s="97"/>
      <c r="E3" s="97"/>
      <c r="F3" s="96"/>
      <c r="G3" s="96"/>
      <c r="H3" s="96"/>
      <c r="L3" s="138"/>
      <c r="O3" s="138"/>
      <c r="R3" s="138"/>
      <c r="U3" s="138"/>
      <c r="X3" s="138"/>
    </row>
    <row r="4" spans="2:24" ht="12.75" customHeight="1" x14ac:dyDescent="0.25">
      <c r="B4" s="96"/>
      <c r="C4" s="96"/>
      <c r="D4" s="97"/>
      <c r="E4" s="97"/>
      <c r="F4" s="96"/>
      <c r="G4" s="96"/>
      <c r="H4" s="96"/>
      <c r="L4" s="138"/>
      <c r="O4" s="138"/>
      <c r="R4" s="138"/>
      <c r="U4" s="138"/>
      <c r="X4" s="138"/>
    </row>
    <row r="5" spans="2:24" ht="12.75" customHeight="1" x14ac:dyDescent="0.25">
      <c r="B5" s="96"/>
      <c r="C5" s="96"/>
      <c r="D5" s="97"/>
      <c r="E5" s="97"/>
      <c r="F5" s="96"/>
      <c r="G5" s="96"/>
      <c r="H5" s="96"/>
      <c r="L5" s="138"/>
      <c r="O5" s="138"/>
      <c r="R5" s="138"/>
      <c r="U5" s="138"/>
      <c r="X5" s="138"/>
    </row>
    <row r="6" spans="2:24" ht="12.75" customHeight="1" x14ac:dyDescent="0.25">
      <c r="B6" s="96"/>
      <c r="C6" s="96"/>
      <c r="D6" s="97"/>
      <c r="E6" s="97"/>
      <c r="F6" s="96"/>
      <c r="G6" s="96"/>
      <c r="H6" s="96"/>
      <c r="L6" s="138"/>
      <c r="O6" s="138"/>
      <c r="R6" s="138"/>
      <c r="U6" s="138"/>
      <c r="X6" s="138"/>
    </row>
    <row r="7" spans="2:24" ht="12.75" customHeight="1" x14ac:dyDescent="0.25">
      <c r="B7" s="96"/>
      <c r="C7" s="96"/>
      <c r="D7" s="97"/>
      <c r="E7" s="97"/>
      <c r="F7" s="96"/>
      <c r="G7" s="96"/>
      <c r="H7" s="96"/>
      <c r="L7" s="138"/>
      <c r="O7" s="138"/>
      <c r="R7" s="138"/>
      <c r="U7" s="138"/>
      <c r="X7" s="138"/>
    </row>
    <row r="8" spans="2:24" ht="12.75" customHeight="1" x14ac:dyDescent="0.25">
      <c r="B8" s="96"/>
      <c r="C8" s="96"/>
      <c r="D8" s="97"/>
      <c r="E8" s="97"/>
      <c r="F8" s="96"/>
      <c r="G8" s="96"/>
      <c r="H8" s="96"/>
      <c r="L8" s="138"/>
      <c r="O8" s="138"/>
      <c r="R8" s="138"/>
      <c r="U8" s="138"/>
      <c r="X8" s="138"/>
    </row>
    <row r="9" spans="2:24" ht="12.75" customHeight="1" x14ac:dyDescent="0.25">
      <c r="B9" s="96"/>
      <c r="C9" s="96"/>
      <c r="D9" s="97"/>
      <c r="E9" s="97"/>
      <c r="F9" s="96"/>
      <c r="G9" s="96"/>
      <c r="H9" s="96"/>
      <c r="L9" s="138"/>
      <c r="O9" s="138"/>
      <c r="R9" s="138"/>
      <c r="U9" s="138"/>
      <c r="X9" s="138"/>
    </row>
    <row r="10" spans="2:24" ht="12.75" customHeight="1" x14ac:dyDescent="0.25">
      <c r="B10" s="96"/>
      <c r="C10" s="96"/>
      <c r="D10" s="97"/>
      <c r="E10" s="97"/>
      <c r="F10" s="96"/>
      <c r="G10" s="96"/>
      <c r="H10" s="96"/>
      <c r="L10" s="138"/>
      <c r="O10" s="138"/>
      <c r="R10" s="138"/>
      <c r="U10" s="138"/>
      <c r="X10" s="138"/>
    </row>
    <row r="11" spans="2:24" ht="12.75" customHeight="1" x14ac:dyDescent="0.25">
      <c r="B11" s="96"/>
      <c r="C11" s="96"/>
      <c r="D11" s="97"/>
      <c r="E11" s="97"/>
      <c r="F11" s="96"/>
      <c r="G11" s="96"/>
      <c r="H11" s="96"/>
      <c r="L11" s="138"/>
      <c r="O11" s="138"/>
      <c r="R11" s="138"/>
      <c r="U11" s="138"/>
      <c r="X11" s="138"/>
    </row>
    <row r="12" spans="2:24" ht="12.75" customHeight="1" x14ac:dyDescent="0.25">
      <c r="B12" s="96"/>
      <c r="C12" s="96"/>
      <c r="D12" s="97"/>
      <c r="E12" s="97"/>
      <c r="F12" s="96"/>
      <c r="G12" s="96"/>
      <c r="H12" s="96"/>
      <c r="L12" s="138"/>
      <c r="O12" s="138"/>
      <c r="R12" s="138"/>
      <c r="U12" s="138"/>
      <c r="X12" s="138"/>
    </row>
    <row r="13" spans="2:24" ht="12.75" customHeight="1" x14ac:dyDescent="0.25">
      <c r="B13" s="96"/>
      <c r="C13" s="96"/>
      <c r="D13" s="97"/>
      <c r="E13" s="97"/>
      <c r="F13" s="96"/>
      <c r="G13" s="96"/>
      <c r="H13" s="96"/>
      <c r="L13" s="138"/>
      <c r="O13" s="138"/>
      <c r="R13" s="138"/>
      <c r="U13" s="138"/>
      <c r="X13" s="138"/>
    </row>
    <row r="14" spans="2:24" ht="12.75" customHeight="1" x14ac:dyDescent="0.25">
      <c r="B14" s="96"/>
      <c r="C14" s="96"/>
      <c r="D14" s="97"/>
      <c r="E14" s="97"/>
      <c r="F14" s="96"/>
      <c r="G14" s="96"/>
      <c r="H14" s="96"/>
      <c r="L14" s="138"/>
      <c r="O14" s="138"/>
      <c r="R14" s="138"/>
      <c r="U14" s="138"/>
      <c r="X14" s="138"/>
    </row>
    <row r="15" spans="2:24" ht="12.75" customHeight="1" x14ac:dyDescent="0.25">
      <c r="B15" s="96"/>
      <c r="C15" s="96"/>
      <c r="D15" s="97"/>
      <c r="E15" s="97"/>
      <c r="F15" s="96"/>
      <c r="G15" s="96"/>
      <c r="H15" s="96"/>
      <c r="L15" s="138"/>
      <c r="O15" s="138"/>
      <c r="R15" s="138"/>
      <c r="U15" s="138"/>
      <c r="X15" s="138"/>
    </row>
    <row r="16" spans="2:24" ht="12.75" customHeight="1" x14ac:dyDescent="0.25">
      <c r="B16" s="96"/>
      <c r="C16" s="96"/>
      <c r="D16" s="97"/>
      <c r="E16" s="97"/>
      <c r="F16" s="96"/>
      <c r="G16" s="96"/>
      <c r="H16" s="96"/>
      <c r="L16" s="138"/>
      <c r="O16" s="138"/>
      <c r="R16" s="138"/>
      <c r="U16" s="138"/>
      <c r="X16" s="138"/>
    </row>
    <row r="17" spans="2:24" ht="12.75" customHeight="1" x14ac:dyDescent="0.25">
      <c r="B17" s="96"/>
      <c r="C17" s="96"/>
      <c r="D17" s="97"/>
      <c r="E17" s="97"/>
      <c r="F17" s="96"/>
      <c r="G17" s="96"/>
      <c r="H17" s="96"/>
      <c r="L17" s="138"/>
      <c r="O17" s="138"/>
      <c r="R17" s="138"/>
      <c r="U17" s="138"/>
      <c r="X17" s="138"/>
    </row>
    <row r="18" spans="2:24" ht="12.75" customHeight="1" x14ac:dyDescent="0.25">
      <c r="B18" s="96"/>
      <c r="C18" s="96"/>
      <c r="D18" s="97"/>
      <c r="E18" s="97"/>
      <c r="F18" s="96"/>
      <c r="G18" s="96"/>
      <c r="H18" s="96"/>
      <c r="L18" s="138"/>
      <c r="O18" s="138"/>
      <c r="R18" s="138"/>
      <c r="U18" s="138"/>
      <c r="X18" s="138"/>
    </row>
    <row r="19" spans="2:24" ht="12.75" customHeight="1" x14ac:dyDescent="0.25">
      <c r="B19" s="96"/>
      <c r="C19" s="96"/>
      <c r="D19" s="97"/>
      <c r="E19" s="97"/>
      <c r="F19" s="96"/>
      <c r="G19" s="96"/>
      <c r="H19" s="96"/>
      <c r="L19" s="138"/>
      <c r="O19" s="138"/>
      <c r="R19" s="138"/>
      <c r="U19" s="138"/>
      <c r="X19" s="138"/>
    </row>
    <row r="20" spans="2:24" ht="12.75" customHeight="1" x14ac:dyDescent="0.25">
      <c r="B20" s="96"/>
      <c r="C20" s="96"/>
      <c r="D20" s="97"/>
      <c r="E20" s="97"/>
      <c r="F20" s="96"/>
      <c r="G20" s="96"/>
      <c r="H20" s="96"/>
      <c r="L20" s="138"/>
      <c r="O20" s="138"/>
      <c r="R20" s="138"/>
      <c r="U20" s="138"/>
      <c r="X20" s="138"/>
    </row>
    <row r="21" spans="2:24" ht="12.75" customHeight="1" x14ac:dyDescent="0.25">
      <c r="B21" s="96"/>
      <c r="C21" s="96"/>
      <c r="D21" s="97"/>
      <c r="E21" s="97"/>
      <c r="F21" s="96"/>
      <c r="G21" s="96"/>
      <c r="H21" s="96"/>
      <c r="L21" s="138"/>
      <c r="O21" s="138"/>
      <c r="R21" s="138"/>
      <c r="U21" s="138"/>
      <c r="X21" s="138"/>
    </row>
    <row r="22" spans="2:24" ht="12.75" customHeight="1" x14ac:dyDescent="0.25">
      <c r="B22" s="96"/>
      <c r="C22" s="96"/>
      <c r="D22" s="97"/>
      <c r="E22" s="97"/>
      <c r="F22" s="96"/>
      <c r="G22" s="96"/>
      <c r="H22" s="96"/>
      <c r="L22" s="138"/>
      <c r="O22" s="138"/>
      <c r="R22" s="138"/>
      <c r="U22" s="138"/>
      <c r="X22" s="138"/>
    </row>
    <row r="23" spans="2:24" ht="12.75" customHeight="1" x14ac:dyDescent="0.25">
      <c r="B23" s="96"/>
      <c r="C23" s="96"/>
      <c r="D23" s="97"/>
      <c r="E23" s="97"/>
      <c r="F23" s="96"/>
      <c r="G23" s="96"/>
      <c r="H23" s="96"/>
      <c r="L23" s="138"/>
      <c r="O23" s="138"/>
      <c r="R23" s="138"/>
      <c r="U23" s="138"/>
      <c r="X23" s="138"/>
    </row>
    <row r="24" spans="2:24" ht="12.75" customHeight="1" x14ac:dyDescent="0.25">
      <c r="B24" s="96"/>
      <c r="C24" s="96"/>
      <c r="D24" s="97"/>
      <c r="E24" s="97"/>
      <c r="F24" s="96"/>
      <c r="G24" s="96"/>
      <c r="H24" s="96"/>
      <c r="L24" s="138"/>
      <c r="O24" s="138"/>
      <c r="R24" s="138"/>
      <c r="U24" s="138"/>
      <c r="X24" s="138"/>
    </row>
    <row r="25" spans="2:24" ht="12.75" customHeight="1" x14ac:dyDescent="0.25">
      <c r="B25" s="96"/>
      <c r="C25" s="96"/>
      <c r="D25" s="97"/>
      <c r="E25" s="97"/>
      <c r="F25" s="96"/>
      <c r="G25" s="96"/>
      <c r="H25" s="96"/>
      <c r="L25" s="138"/>
      <c r="O25" s="138"/>
      <c r="R25" s="138"/>
      <c r="U25" s="138"/>
      <c r="X25" s="138"/>
    </row>
    <row r="26" spans="2:24" ht="12.75" customHeight="1" x14ac:dyDescent="0.25">
      <c r="B26" s="96"/>
      <c r="C26" s="96"/>
      <c r="D26" s="97"/>
      <c r="E26" s="97"/>
      <c r="F26" s="96"/>
      <c r="G26" s="96"/>
      <c r="H26" s="96"/>
      <c r="L26" s="138"/>
      <c r="O26" s="138"/>
      <c r="R26" s="138"/>
      <c r="U26" s="138"/>
      <c r="X26" s="138"/>
    </row>
    <row r="27" spans="2:24" ht="12.75" customHeight="1" x14ac:dyDescent="0.25">
      <c r="B27" s="96"/>
      <c r="C27" s="96"/>
      <c r="D27" s="97"/>
      <c r="E27" s="97"/>
      <c r="F27" s="96"/>
      <c r="G27" s="96"/>
      <c r="H27" s="96"/>
      <c r="L27" s="138"/>
      <c r="O27" s="138"/>
      <c r="R27" s="138"/>
      <c r="U27" s="138"/>
      <c r="X27" s="138"/>
    </row>
    <row r="28" spans="2:24" ht="12.75" customHeight="1" x14ac:dyDescent="0.25">
      <c r="B28" s="96"/>
      <c r="C28" s="96"/>
      <c r="D28" s="97"/>
      <c r="E28" s="97"/>
      <c r="F28" s="96"/>
      <c r="G28" s="96"/>
      <c r="H28" s="96"/>
      <c r="L28" s="138"/>
      <c r="O28" s="138"/>
      <c r="R28" s="138"/>
      <c r="U28" s="138"/>
      <c r="X28" s="138"/>
    </row>
    <row r="29" spans="2:24" ht="12.75" customHeight="1" x14ac:dyDescent="0.25">
      <c r="B29" s="96"/>
      <c r="C29" s="96"/>
      <c r="D29" s="97"/>
      <c r="E29" s="97"/>
      <c r="F29" s="96"/>
      <c r="G29" s="96"/>
      <c r="H29" s="96"/>
      <c r="L29" s="138"/>
      <c r="O29" s="138"/>
      <c r="R29" s="138"/>
      <c r="U29" s="138"/>
      <c r="X29" s="138"/>
    </row>
    <row r="30" spans="2:24" ht="12.75" customHeight="1" x14ac:dyDescent="0.25">
      <c r="B30" s="96"/>
      <c r="C30" s="96"/>
      <c r="D30" s="97"/>
      <c r="E30" s="97"/>
      <c r="F30" s="96"/>
      <c r="G30" s="96"/>
      <c r="H30" s="96"/>
      <c r="L30" s="138"/>
      <c r="O30" s="138"/>
      <c r="R30" s="138"/>
      <c r="U30" s="138"/>
      <c r="X30" s="138"/>
    </row>
    <row r="31" spans="2:24" ht="12.75" customHeight="1" x14ac:dyDescent="0.25">
      <c r="B31" s="96"/>
      <c r="C31" s="96"/>
      <c r="D31" s="97"/>
      <c r="E31" s="97"/>
      <c r="F31" s="96"/>
      <c r="G31" s="96"/>
      <c r="H31" s="96"/>
      <c r="L31" s="138"/>
      <c r="O31" s="138"/>
      <c r="R31" s="138"/>
      <c r="U31" s="138"/>
      <c r="X31" s="138"/>
    </row>
    <row r="32" spans="2:24" ht="12.75" customHeight="1" x14ac:dyDescent="0.25">
      <c r="B32" s="96"/>
      <c r="C32" s="96"/>
      <c r="D32" s="97"/>
      <c r="E32" s="97"/>
      <c r="F32" s="96"/>
      <c r="G32" s="96"/>
      <c r="H32" s="96"/>
      <c r="L32" s="138"/>
      <c r="O32" s="138"/>
      <c r="R32" s="138"/>
      <c r="U32" s="138"/>
      <c r="X32" s="138"/>
    </row>
    <row r="33" spans="2:24" ht="12.75" customHeight="1" x14ac:dyDescent="0.25">
      <c r="B33" s="96"/>
      <c r="C33" s="96"/>
      <c r="D33" s="97"/>
      <c r="E33" s="97"/>
      <c r="F33" s="96"/>
      <c r="G33" s="96"/>
      <c r="H33" s="96"/>
      <c r="L33" s="138"/>
      <c r="O33" s="138"/>
      <c r="R33" s="138"/>
      <c r="U33" s="138"/>
      <c r="X33" s="138"/>
    </row>
    <row r="34" spans="2:24" ht="12.75" customHeight="1" x14ac:dyDescent="0.25">
      <c r="B34" s="96"/>
      <c r="C34" s="96"/>
      <c r="D34" s="97"/>
      <c r="E34" s="97"/>
      <c r="F34" s="96"/>
      <c r="G34" s="96"/>
      <c r="H34" s="96"/>
      <c r="L34" s="138"/>
      <c r="O34" s="138"/>
      <c r="R34" s="138"/>
      <c r="U34" s="138"/>
      <c r="X34" s="138"/>
    </row>
    <row r="35" spans="2:24" ht="12.75" customHeight="1" x14ac:dyDescent="0.25">
      <c r="B35" s="96"/>
      <c r="C35" s="96"/>
      <c r="D35" s="97"/>
      <c r="E35" s="97"/>
      <c r="F35" s="96"/>
      <c r="G35" s="96"/>
      <c r="H35" s="96"/>
      <c r="L35" s="138"/>
      <c r="O35" s="138"/>
      <c r="R35" s="138"/>
      <c r="U35" s="138"/>
      <c r="X35" s="138"/>
    </row>
    <row r="36" spans="2:24" ht="12.75" customHeight="1" x14ac:dyDescent="0.25">
      <c r="B36" s="96"/>
      <c r="C36" s="96"/>
      <c r="D36" s="97"/>
      <c r="E36" s="97"/>
      <c r="F36" s="96"/>
      <c r="G36" s="96"/>
      <c r="H36" s="96"/>
      <c r="L36" s="138"/>
      <c r="O36" s="138"/>
      <c r="R36" s="138"/>
      <c r="U36" s="138"/>
      <c r="X36" s="138"/>
    </row>
    <row r="37" spans="2:24" ht="12.75" customHeight="1" x14ac:dyDescent="0.25">
      <c r="B37" s="96"/>
      <c r="C37" s="96"/>
      <c r="D37" s="97"/>
      <c r="E37" s="97"/>
      <c r="F37" s="96"/>
      <c r="G37" s="96"/>
      <c r="H37" s="96"/>
      <c r="L37" s="138"/>
      <c r="O37" s="138"/>
      <c r="R37" s="138"/>
      <c r="U37" s="138"/>
      <c r="X37" s="138"/>
    </row>
    <row r="38" spans="2:24" ht="12.75" customHeight="1" x14ac:dyDescent="0.25">
      <c r="B38" s="96"/>
      <c r="C38" s="96"/>
      <c r="D38" s="97"/>
      <c r="E38" s="97"/>
      <c r="F38" s="96"/>
      <c r="G38" s="96"/>
      <c r="H38" s="96"/>
      <c r="L38" s="138"/>
      <c r="O38" s="138"/>
      <c r="R38" s="138"/>
      <c r="U38" s="138"/>
      <c r="X38" s="138"/>
    </row>
    <row r="39" spans="2:24" ht="12.75" customHeight="1" x14ac:dyDescent="0.25">
      <c r="B39" s="96"/>
      <c r="C39" s="96"/>
      <c r="D39" s="97"/>
      <c r="E39" s="97"/>
      <c r="F39" s="96"/>
      <c r="G39" s="96"/>
      <c r="H39" s="96"/>
      <c r="L39" s="138"/>
      <c r="O39" s="138"/>
      <c r="R39" s="138"/>
      <c r="U39" s="138"/>
      <c r="X39" s="138"/>
    </row>
    <row r="40" spans="2:24" ht="12.75" customHeight="1" x14ac:dyDescent="0.25">
      <c r="B40" s="96"/>
      <c r="C40" s="96"/>
      <c r="D40" s="97"/>
      <c r="E40" s="97"/>
      <c r="F40" s="96"/>
      <c r="G40" s="96"/>
      <c r="H40" s="96"/>
      <c r="L40" s="138"/>
      <c r="O40" s="138"/>
      <c r="R40" s="138"/>
      <c r="U40" s="138"/>
      <c r="X40" s="138"/>
    </row>
    <row r="41" spans="2:24" ht="12.75" customHeight="1" x14ac:dyDescent="0.25">
      <c r="B41" s="96"/>
      <c r="C41" s="96"/>
      <c r="D41" s="97"/>
      <c r="E41" s="97"/>
      <c r="F41" s="96"/>
      <c r="G41" s="96"/>
      <c r="H41" s="96"/>
      <c r="L41" s="138"/>
      <c r="O41" s="138"/>
      <c r="R41" s="138"/>
      <c r="U41" s="138"/>
      <c r="X41" s="138"/>
    </row>
    <row r="42" spans="2:24" ht="12.75" customHeight="1" x14ac:dyDescent="0.25">
      <c r="B42" s="96"/>
      <c r="C42" s="96"/>
      <c r="D42" s="97"/>
      <c r="E42" s="97"/>
      <c r="F42" s="96"/>
      <c r="G42" s="96"/>
      <c r="H42" s="96"/>
      <c r="L42" s="138"/>
      <c r="O42" s="138"/>
      <c r="R42" s="138"/>
      <c r="U42" s="138"/>
      <c r="X42" s="138"/>
    </row>
    <row r="43" spans="2:24" ht="12.75" customHeight="1" x14ac:dyDescent="0.25">
      <c r="B43" s="96"/>
      <c r="C43" s="96"/>
      <c r="D43" s="97"/>
      <c r="E43" s="97"/>
      <c r="F43" s="96"/>
      <c r="G43" s="96"/>
      <c r="H43" s="96"/>
      <c r="L43" s="138"/>
      <c r="O43" s="138"/>
      <c r="R43" s="138"/>
      <c r="U43" s="138"/>
      <c r="X43" s="138"/>
    </row>
    <row r="44" spans="2:24" ht="12.75" customHeight="1" x14ac:dyDescent="0.25">
      <c r="B44" s="96"/>
      <c r="C44" s="96"/>
      <c r="D44" s="97"/>
      <c r="E44" s="97"/>
      <c r="F44" s="96"/>
      <c r="G44" s="96"/>
      <c r="H44" s="96"/>
      <c r="L44" s="138"/>
      <c r="O44" s="138"/>
      <c r="R44" s="138"/>
      <c r="U44" s="138"/>
      <c r="X44" s="138"/>
    </row>
    <row r="45" spans="2:24" ht="12.75" customHeight="1" x14ac:dyDescent="0.25">
      <c r="B45" s="96"/>
      <c r="C45" s="96"/>
      <c r="D45" s="97"/>
      <c r="E45" s="97"/>
      <c r="F45" s="96"/>
      <c r="G45" s="96"/>
      <c r="H45" s="96"/>
      <c r="L45" s="138"/>
      <c r="O45" s="138"/>
      <c r="R45" s="138"/>
      <c r="U45" s="138"/>
      <c r="X45" s="138"/>
    </row>
    <row r="46" spans="2:24" ht="12.75" customHeight="1" x14ac:dyDescent="0.25">
      <c r="B46" s="96"/>
      <c r="C46" s="96"/>
      <c r="D46" s="97"/>
      <c r="E46" s="97"/>
      <c r="F46" s="96"/>
      <c r="G46" s="96"/>
      <c r="H46" s="96"/>
      <c r="L46" s="138"/>
      <c r="O46" s="138"/>
      <c r="R46" s="138"/>
      <c r="U46" s="138"/>
      <c r="X46" s="138"/>
    </row>
    <row r="47" spans="2:24" ht="12.75" customHeight="1" x14ac:dyDescent="0.25">
      <c r="B47" s="96"/>
      <c r="C47" s="96"/>
      <c r="D47" s="97"/>
      <c r="E47" s="97"/>
      <c r="F47" s="96"/>
      <c r="G47" s="96"/>
      <c r="H47" s="96"/>
      <c r="L47" s="138"/>
      <c r="O47" s="138"/>
      <c r="R47" s="138"/>
      <c r="U47" s="138"/>
      <c r="X47" s="138"/>
    </row>
    <row r="48" spans="2:24" ht="12.75" customHeight="1" x14ac:dyDescent="0.25">
      <c r="B48" s="96"/>
      <c r="C48" s="96"/>
      <c r="D48" s="97"/>
      <c r="E48" s="97"/>
      <c r="F48" s="96"/>
      <c r="G48" s="96"/>
      <c r="H48" s="96"/>
      <c r="L48" s="138"/>
      <c r="O48" s="138"/>
      <c r="R48" s="138"/>
      <c r="U48" s="138"/>
      <c r="X48" s="138"/>
    </row>
    <row r="49" spans="2:24" ht="12.75" customHeight="1" x14ac:dyDescent="0.25">
      <c r="B49" s="96"/>
      <c r="C49" s="96"/>
      <c r="D49" s="97"/>
      <c r="E49" s="97"/>
      <c r="F49" s="96"/>
      <c r="G49" s="96"/>
      <c r="H49" s="96"/>
      <c r="L49" s="138"/>
      <c r="O49" s="138"/>
      <c r="R49" s="138"/>
      <c r="U49" s="138"/>
      <c r="X49" s="138"/>
    </row>
    <row r="50" spans="2:24" ht="12.75" customHeight="1" x14ac:dyDescent="0.25">
      <c r="B50" s="96"/>
      <c r="C50" s="96"/>
      <c r="D50" s="97"/>
      <c r="E50" s="97"/>
      <c r="F50" s="96"/>
      <c r="G50" s="96"/>
      <c r="H50" s="96"/>
      <c r="L50" s="138"/>
      <c r="O50" s="138"/>
      <c r="R50" s="138"/>
      <c r="U50" s="138"/>
      <c r="X50" s="138"/>
    </row>
    <row r="51" spans="2:24" ht="12.75" customHeight="1" x14ac:dyDescent="0.25">
      <c r="B51" s="96"/>
      <c r="C51" s="96"/>
      <c r="D51" s="97"/>
      <c r="E51" s="97"/>
      <c r="F51" s="96"/>
      <c r="G51" s="96"/>
      <c r="H51" s="96"/>
      <c r="L51" s="138"/>
      <c r="O51" s="138"/>
      <c r="R51" s="138"/>
      <c r="U51" s="138"/>
      <c r="X51" s="138"/>
    </row>
    <row r="52" spans="2:24" ht="12.75" customHeight="1" x14ac:dyDescent="0.25">
      <c r="B52" s="96"/>
      <c r="C52" s="96"/>
      <c r="D52" s="97"/>
      <c r="E52" s="97"/>
      <c r="F52" s="96"/>
      <c r="G52" s="96"/>
      <c r="H52" s="96"/>
      <c r="L52" s="138"/>
      <c r="O52" s="138"/>
      <c r="R52" s="138"/>
      <c r="U52" s="138"/>
      <c r="X52" s="138"/>
    </row>
    <row r="53" spans="2:24" ht="12.75" customHeight="1" x14ac:dyDescent="0.25">
      <c r="B53" s="96"/>
      <c r="C53" s="96"/>
      <c r="D53" s="97"/>
      <c r="E53" s="97"/>
      <c r="F53" s="96"/>
      <c r="G53" s="96"/>
      <c r="H53" s="96"/>
      <c r="L53" s="138"/>
      <c r="O53" s="138"/>
      <c r="R53" s="138"/>
      <c r="U53" s="138"/>
      <c r="X53" s="138"/>
    </row>
    <row r="54" spans="2:24" ht="12.75" customHeight="1" x14ac:dyDescent="0.25">
      <c r="B54" s="96"/>
      <c r="C54" s="96"/>
      <c r="D54" s="97"/>
      <c r="E54" s="97"/>
      <c r="F54" s="96"/>
      <c r="G54" s="96"/>
      <c r="H54" s="96"/>
      <c r="L54" s="138"/>
      <c r="O54" s="138"/>
      <c r="R54" s="138"/>
      <c r="U54" s="138"/>
      <c r="X54" s="138"/>
    </row>
    <row r="55" spans="2:24" ht="12.75" customHeight="1" x14ac:dyDescent="0.25">
      <c r="B55" s="96"/>
      <c r="C55" s="96"/>
      <c r="D55" s="97"/>
      <c r="E55" s="97"/>
      <c r="F55" s="96"/>
      <c r="G55" s="96"/>
      <c r="H55" s="96"/>
      <c r="L55" s="138"/>
      <c r="O55" s="138"/>
      <c r="R55" s="138"/>
      <c r="U55" s="138"/>
      <c r="X55" s="138"/>
    </row>
    <row r="56" spans="2:24" ht="12.75" customHeight="1" x14ac:dyDescent="0.25">
      <c r="B56" s="96"/>
      <c r="C56" s="96"/>
      <c r="D56" s="97"/>
      <c r="E56" s="97"/>
      <c r="F56" s="96"/>
      <c r="G56" s="96"/>
      <c r="H56" s="96"/>
      <c r="L56" s="138"/>
      <c r="O56" s="138"/>
      <c r="R56" s="138"/>
      <c r="U56" s="138"/>
      <c r="X56" s="138"/>
    </row>
    <row r="57" spans="2:24" ht="12.75" customHeight="1" x14ac:dyDescent="0.25">
      <c r="B57" s="96"/>
      <c r="C57" s="96"/>
      <c r="D57" s="97"/>
      <c r="E57" s="97"/>
      <c r="F57" s="96"/>
      <c r="G57" s="96"/>
      <c r="H57" s="96"/>
      <c r="L57" s="138"/>
      <c r="O57" s="138"/>
      <c r="R57" s="138"/>
      <c r="U57" s="138"/>
      <c r="X57" s="138"/>
    </row>
    <row r="58" spans="2:24" ht="12.75" customHeight="1" x14ac:dyDescent="0.25">
      <c r="B58" s="96"/>
      <c r="C58" s="96"/>
      <c r="D58" s="97"/>
      <c r="E58" s="97"/>
      <c r="F58" s="96"/>
      <c r="G58" s="96"/>
      <c r="H58" s="96"/>
      <c r="L58" s="138"/>
      <c r="O58" s="138"/>
      <c r="R58" s="138"/>
      <c r="U58" s="138"/>
      <c r="X58" s="138"/>
    </row>
    <row r="59" spans="2:24" ht="12.75" customHeight="1" x14ac:dyDescent="0.25">
      <c r="B59" s="96"/>
      <c r="C59" s="96"/>
      <c r="D59" s="138"/>
      <c r="E59" s="138"/>
      <c r="F59" s="96"/>
      <c r="G59" s="96"/>
      <c r="H59" s="96"/>
      <c r="L59" s="138"/>
      <c r="O59" s="138"/>
      <c r="R59" s="138"/>
      <c r="U59" s="138"/>
      <c r="X59" s="138"/>
    </row>
    <row r="60" spans="2:24" ht="12.75" customHeight="1" x14ac:dyDescent="0.25">
      <c r="B60" s="96"/>
      <c r="C60" s="96"/>
      <c r="D60" s="138"/>
      <c r="E60" s="138"/>
      <c r="G60" s="96"/>
      <c r="H60" s="96"/>
      <c r="L60" s="138"/>
      <c r="O60" s="138"/>
      <c r="R60" s="138"/>
      <c r="U60" s="138"/>
      <c r="X60" s="138"/>
    </row>
    <row r="61" spans="2:24" ht="12.75" customHeight="1" x14ac:dyDescent="0.25">
      <c r="D61" s="138"/>
      <c r="E61" s="138"/>
      <c r="L61" s="138"/>
      <c r="O61" s="138"/>
      <c r="R61" s="138"/>
      <c r="U61" s="138"/>
      <c r="X61" s="138"/>
    </row>
    <row r="62" spans="2:24" ht="12.75" customHeight="1" x14ac:dyDescent="0.25">
      <c r="D62" s="138"/>
      <c r="E62" s="138"/>
      <c r="L62" s="138"/>
      <c r="O62" s="138"/>
      <c r="R62" s="138"/>
      <c r="U62" s="138"/>
      <c r="X62" s="138"/>
    </row>
    <row r="63" spans="2:24" ht="12.75" customHeight="1" x14ac:dyDescent="0.25">
      <c r="D63" s="138"/>
      <c r="E63" s="138"/>
      <c r="L63" s="138"/>
      <c r="O63" s="138"/>
      <c r="R63" s="138"/>
      <c r="U63" s="138"/>
      <c r="X63" s="138"/>
    </row>
    <row r="64" spans="2:24" ht="12.75" customHeight="1" x14ac:dyDescent="0.25">
      <c r="D64" s="138"/>
      <c r="E64" s="138"/>
      <c r="L64" s="138"/>
      <c r="O64" s="138"/>
      <c r="R64" s="138"/>
      <c r="U64" s="138"/>
      <c r="X64" s="138"/>
    </row>
    <row r="65" spans="4:24" ht="12.75" customHeight="1" x14ac:dyDescent="0.25">
      <c r="D65" s="138"/>
      <c r="E65" s="138"/>
      <c r="L65" s="138"/>
      <c r="O65" s="138"/>
      <c r="R65" s="138"/>
      <c r="U65" s="138"/>
      <c r="X65" s="138"/>
    </row>
    <row r="66" spans="4:24" ht="12.75" customHeight="1" x14ac:dyDescent="0.25">
      <c r="D66" s="138"/>
      <c r="E66" s="138"/>
      <c r="L66" s="138"/>
      <c r="O66" s="138"/>
      <c r="R66" s="138"/>
      <c r="U66" s="138"/>
      <c r="X66" s="138"/>
    </row>
    <row r="67" spans="4:24" ht="12.75" customHeight="1" x14ac:dyDescent="0.25">
      <c r="D67" s="138"/>
      <c r="E67" s="138"/>
      <c r="L67" s="138"/>
      <c r="O67" s="138"/>
      <c r="R67" s="138"/>
      <c r="U67" s="138"/>
      <c r="X67" s="138"/>
    </row>
    <row r="68" spans="4:24" ht="12.75" customHeight="1" x14ac:dyDescent="0.25">
      <c r="D68" s="138"/>
      <c r="E68" s="138"/>
      <c r="L68" s="138"/>
      <c r="O68" s="138"/>
      <c r="R68" s="138"/>
      <c r="U68" s="138"/>
      <c r="X68" s="138"/>
    </row>
    <row r="69" spans="4:24" ht="12.75" customHeight="1" x14ac:dyDescent="0.25">
      <c r="D69" s="138"/>
      <c r="E69" s="138"/>
      <c r="L69" s="138"/>
      <c r="O69" s="138"/>
      <c r="R69" s="138"/>
      <c r="U69" s="138"/>
      <c r="X69" s="138"/>
    </row>
    <row r="70" spans="4:24" ht="12.75" customHeight="1" x14ac:dyDescent="0.25">
      <c r="D70" s="138"/>
      <c r="E70" s="138"/>
      <c r="L70" s="138"/>
      <c r="O70" s="138"/>
      <c r="R70" s="138"/>
      <c r="U70" s="138"/>
      <c r="X70" s="138"/>
    </row>
    <row r="71" spans="4:24" ht="12.75" customHeight="1" x14ac:dyDescent="0.25">
      <c r="D71" s="138"/>
      <c r="E71" s="138"/>
      <c r="L71" s="138"/>
      <c r="O71" s="138"/>
      <c r="R71" s="138"/>
      <c r="U71" s="138"/>
      <c r="X71" s="138"/>
    </row>
    <row r="72" spans="4:24" ht="12.75" customHeight="1" x14ac:dyDescent="0.25">
      <c r="D72" s="138"/>
      <c r="E72" s="138"/>
      <c r="L72" s="138"/>
      <c r="O72" s="138"/>
      <c r="R72" s="138"/>
      <c r="U72" s="138"/>
      <c r="X72" s="138"/>
    </row>
    <row r="73" spans="4:24" ht="12.75" customHeight="1" x14ac:dyDescent="0.25">
      <c r="D73" s="138"/>
      <c r="E73" s="138"/>
      <c r="L73" s="138"/>
      <c r="O73" s="138"/>
      <c r="R73" s="138"/>
      <c r="U73" s="138"/>
      <c r="X73" s="138"/>
    </row>
    <row r="74" spans="4:24" ht="12.75" customHeight="1" x14ac:dyDescent="0.25">
      <c r="D74" s="138"/>
      <c r="E74" s="138"/>
      <c r="L74" s="138"/>
      <c r="O74" s="138"/>
      <c r="R74" s="138"/>
      <c r="U74" s="138"/>
      <c r="X74" s="138"/>
    </row>
    <row r="75" spans="4:24" ht="12.75" customHeight="1" x14ac:dyDescent="0.25">
      <c r="D75" s="138"/>
      <c r="E75" s="138"/>
      <c r="L75" s="138"/>
      <c r="O75" s="138"/>
      <c r="R75" s="138"/>
      <c r="U75" s="138"/>
      <c r="X75" s="138"/>
    </row>
    <row r="76" spans="4:24" ht="12.75" customHeight="1" x14ac:dyDescent="0.25">
      <c r="D76" s="138"/>
      <c r="E76" s="138"/>
      <c r="L76" s="138"/>
      <c r="O76" s="138"/>
      <c r="R76" s="138"/>
      <c r="U76" s="138"/>
      <c r="X76" s="138"/>
    </row>
    <row r="77" spans="4:24" ht="12.75" customHeight="1" x14ac:dyDescent="0.25">
      <c r="D77" s="138"/>
      <c r="E77" s="138"/>
      <c r="L77" s="138"/>
      <c r="O77" s="138"/>
      <c r="R77" s="138"/>
      <c r="U77" s="138"/>
      <c r="X77" s="138"/>
    </row>
    <row r="78" spans="4:24" ht="12.75" customHeight="1" x14ac:dyDescent="0.25">
      <c r="D78" s="138"/>
      <c r="E78" s="138"/>
      <c r="L78" s="138"/>
      <c r="O78" s="138"/>
      <c r="R78" s="138"/>
      <c r="U78" s="138"/>
      <c r="X78" s="138"/>
    </row>
    <row r="79" spans="4:24" ht="12.75" customHeight="1" x14ac:dyDescent="0.25">
      <c r="D79" s="138"/>
      <c r="E79" s="138"/>
      <c r="L79" s="138"/>
      <c r="O79" s="138"/>
      <c r="R79" s="138"/>
      <c r="U79" s="138"/>
      <c r="X79" s="138"/>
    </row>
    <row r="80" spans="4:24" ht="12.75" customHeight="1" x14ac:dyDescent="0.25">
      <c r="D80" s="138"/>
      <c r="E80" s="138"/>
      <c r="L80" s="138"/>
      <c r="O80" s="138"/>
      <c r="R80" s="138"/>
      <c r="U80" s="138"/>
      <c r="X80" s="138"/>
    </row>
    <row r="81" spans="4:24" ht="12.75" customHeight="1" x14ac:dyDescent="0.25">
      <c r="D81" s="138"/>
      <c r="E81" s="138"/>
      <c r="L81" s="138"/>
      <c r="O81" s="138"/>
      <c r="R81" s="138"/>
      <c r="U81" s="138"/>
      <c r="X81" s="138"/>
    </row>
    <row r="82" spans="4:24" ht="12.75" customHeight="1" x14ac:dyDescent="0.25">
      <c r="D82" s="138"/>
      <c r="E82" s="138"/>
      <c r="L82" s="138"/>
      <c r="O82" s="138"/>
      <c r="R82" s="138"/>
      <c r="U82" s="138"/>
      <c r="X82" s="138"/>
    </row>
    <row r="83" spans="4:24" ht="12.75" customHeight="1" x14ac:dyDescent="0.25">
      <c r="D83" s="138"/>
      <c r="E83" s="138"/>
      <c r="L83" s="138"/>
      <c r="O83" s="138"/>
      <c r="R83" s="138"/>
      <c r="U83" s="138"/>
      <c r="X83" s="138"/>
    </row>
    <row r="84" spans="4:24" ht="12.75" customHeight="1" x14ac:dyDescent="0.25">
      <c r="D84" s="138"/>
      <c r="E84" s="138"/>
      <c r="L84" s="138"/>
      <c r="O84" s="138"/>
      <c r="R84" s="138"/>
      <c r="U84" s="138"/>
      <c r="X84" s="138"/>
    </row>
    <row r="85" spans="4:24" ht="12.75" customHeight="1" x14ac:dyDescent="0.25">
      <c r="D85" s="138"/>
      <c r="E85" s="138"/>
      <c r="L85" s="138"/>
      <c r="O85" s="138"/>
      <c r="R85" s="138"/>
      <c r="U85" s="138"/>
      <c r="X85" s="138"/>
    </row>
    <row r="86" spans="4:24" ht="12.75" customHeight="1" x14ac:dyDescent="0.25">
      <c r="D86" s="138"/>
      <c r="E86" s="138"/>
      <c r="L86" s="138"/>
      <c r="O86" s="138"/>
      <c r="R86" s="138"/>
      <c r="U86" s="138"/>
      <c r="X86" s="138"/>
    </row>
    <row r="87" spans="4:24" ht="12.75" customHeight="1" x14ac:dyDescent="0.25">
      <c r="D87" s="138"/>
      <c r="E87" s="138"/>
      <c r="L87" s="138"/>
      <c r="O87" s="138"/>
      <c r="R87" s="138"/>
      <c r="U87" s="138"/>
      <c r="X87" s="138"/>
    </row>
    <row r="88" spans="4:24" ht="12.75" customHeight="1" x14ac:dyDescent="0.25">
      <c r="D88" s="138"/>
      <c r="E88" s="138"/>
      <c r="L88" s="138"/>
      <c r="O88" s="138"/>
      <c r="R88" s="138"/>
      <c r="U88" s="138"/>
      <c r="X88" s="138"/>
    </row>
    <row r="89" spans="4:24" ht="12.75" customHeight="1" x14ac:dyDescent="0.25">
      <c r="D89" s="138"/>
      <c r="E89" s="138"/>
      <c r="L89" s="138"/>
      <c r="O89" s="138"/>
      <c r="R89" s="138"/>
      <c r="U89" s="138"/>
      <c r="X89" s="138"/>
    </row>
    <row r="90" spans="4:24" ht="12.75" customHeight="1" x14ac:dyDescent="0.25">
      <c r="D90" s="138"/>
      <c r="E90" s="138"/>
      <c r="L90" s="138"/>
      <c r="O90" s="138"/>
      <c r="R90" s="138"/>
      <c r="U90" s="138"/>
      <c r="X90" s="138"/>
    </row>
    <row r="91" spans="4:24" ht="12.75" customHeight="1" x14ac:dyDescent="0.25">
      <c r="D91" s="138"/>
      <c r="E91" s="138"/>
      <c r="L91" s="138"/>
      <c r="O91" s="138"/>
      <c r="R91" s="138"/>
      <c r="U91" s="138"/>
      <c r="X91" s="138"/>
    </row>
    <row r="92" spans="4:24" ht="12.75" customHeight="1" x14ac:dyDescent="0.25">
      <c r="D92" s="138"/>
      <c r="E92" s="138"/>
      <c r="L92" s="138"/>
      <c r="O92" s="138"/>
      <c r="R92" s="138"/>
      <c r="U92" s="138"/>
      <c r="X92" s="138"/>
    </row>
    <row r="93" spans="4:24" ht="12.75" customHeight="1" x14ac:dyDescent="0.25">
      <c r="D93" s="138"/>
      <c r="E93" s="138"/>
      <c r="L93" s="138"/>
      <c r="O93" s="138"/>
      <c r="R93" s="138"/>
      <c r="U93" s="138"/>
      <c r="X93" s="138"/>
    </row>
    <row r="94" spans="4:24" ht="12.75" customHeight="1" x14ac:dyDescent="0.25">
      <c r="D94" s="138"/>
      <c r="E94" s="138"/>
      <c r="L94" s="138"/>
      <c r="O94" s="138"/>
      <c r="R94" s="138"/>
      <c r="U94" s="138"/>
      <c r="X94" s="138"/>
    </row>
    <row r="95" spans="4:24" ht="12.75" customHeight="1" x14ac:dyDescent="0.25">
      <c r="D95" s="138"/>
      <c r="E95" s="138"/>
      <c r="L95" s="138"/>
      <c r="O95" s="138"/>
      <c r="R95" s="138"/>
      <c r="U95" s="138"/>
      <c r="X95" s="138"/>
    </row>
    <row r="96" spans="4:24" ht="12.75" customHeight="1" x14ac:dyDescent="0.25">
      <c r="D96" s="138"/>
      <c r="E96" s="138"/>
      <c r="L96" s="138"/>
      <c r="O96" s="138"/>
      <c r="R96" s="138"/>
      <c r="U96" s="138"/>
      <c r="X96" s="138"/>
    </row>
    <row r="97" spans="4:24" ht="12.75" customHeight="1" x14ac:dyDescent="0.25">
      <c r="D97" s="138"/>
      <c r="E97" s="138"/>
      <c r="L97" s="138"/>
      <c r="O97" s="138"/>
      <c r="R97" s="138"/>
      <c r="U97" s="138"/>
      <c r="X97" s="138"/>
    </row>
    <row r="98" spans="4:24" ht="12.75" customHeight="1" x14ac:dyDescent="0.25">
      <c r="D98" s="138"/>
      <c r="E98" s="138"/>
      <c r="L98" s="138"/>
      <c r="O98" s="138"/>
      <c r="R98" s="138"/>
      <c r="U98" s="138"/>
      <c r="X98" s="138"/>
    </row>
    <row r="99" spans="4:24" ht="12.75" customHeight="1" x14ac:dyDescent="0.25">
      <c r="D99" s="138"/>
      <c r="E99" s="138"/>
      <c r="L99" s="138"/>
      <c r="O99" s="138"/>
      <c r="R99" s="138"/>
      <c r="U99" s="138"/>
      <c r="X99" s="138"/>
    </row>
    <row r="100" spans="4:24" ht="12.75" customHeight="1" x14ac:dyDescent="0.25">
      <c r="D100" s="138"/>
      <c r="E100" s="138"/>
      <c r="L100" s="138"/>
      <c r="O100" s="138"/>
      <c r="R100" s="138"/>
      <c r="U100" s="138"/>
      <c r="X100" s="138"/>
    </row>
    <row r="101" spans="4:24" ht="12.75" customHeight="1" x14ac:dyDescent="0.25">
      <c r="D101" s="138"/>
      <c r="E101" s="138"/>
      <c r="L101" s="138"/>
      <c r="O101" s="138"/>
      <c r="R101" s="138"/>
      <c r="U101" s="138"/>
      <c r="X101" s="138"/>
    </row>
    <row r="102" spans="4:24" ht="12.75" customHeight="1" x14ac:dyDescent="0.25">
      <c r="D102" s="138"/>
      <c r="E102" s="138"/>
      <c r="L102" s="138"/>
      <c r="O102" s="138"/>
      <c r="R102" s="138"/>
      <c r="U102" s="138"/>
      <c r="X102" s="138"/>
    </row>
    <row r="103" spans="4:24" ht="12.75" customHeight="1" x14ac:dyDescent="0.25">
      <c r="D103" s="138"/>
      <c r="E103" s="138"/>
      <c r="L103" s="138"/>
      <c r="O103" s="138"/>
      <c r="R103" s="138"/>
      <c r="U103" s="138"/>
      <c r="X103" s="138"/>
    </row>
    <row r="104" spans="4:24" ht="12.75" customHeight="1" x14ac:dyDescent="0.25">
      <c r="D104" s="138"/>
      <c r="E104" s="138"/>
      <c r="L104" s="138"/>
      <c r="O104" s="138"/>
      <c r="R104" s="138"/>
      <c r="U104" s="138"/>
      <c r="X104" s="138"/>
    </row>
    <row r="105" spans="4:24" ht="12.75" customHeight="1" x14ac:dyDescent="0.25">
      <c r="D105" s="138"/>
      <c r="E105" s="138"/>
      <c r="L105" s="138"/>
      <c r="O105" s="138"/>
      <c r="R105" s="138"/>
      <c r="U105" s="138"/>
      <c r="X105" s="138"/>
    </row>
    <row r="106" spans="4:24" ht="12.75" customHeight="1" x14ac:dyDescent="0.25">
      <c r="D106" s="138"/>
      <c r="E106" s="138"/>
      <c r="L106" s="138"/>
      <c r="O106" s="138"/>
      <c r="R106" s="138"/>
      <c r="U106" s="138"/>
      <c r="X106" s="138"/>
    </row>
    <row r="107" spans="4:24" ht="12.75" customHeight="1" x14ac:dyDescent="0.25">
      <c r="D107" s="138"/>
      <c r="E107" s="138"/>
      <c r="L107" s="138"/>
      <c r="O107" s="138"/>
      <c r="R107" s="138"/>
      <c r="U107" s="138"/>
      <c r="X107" s="138"/>
    </row>
    <row r="108" spans="4:24" ht="12.75" customHeight="1" x14ac:dyDescent="0.25">
      <c r="D108" s="138"/>
      <c r="E108" s="138"/>
      <c r="L108" s="138"/>
      <c r="O108" s="138"/>
      <c r="R108" s="138"/>
      <c r="U108" s="138"/>
      <c r="X108" s="138"/>
    </row>
    <row r="109" spans="4:24" ht="12.75" customHeight="1" x14ac:dyDescent="0.25">
      <c r="D109" s="138"/>
      <c r="E109" s="138"/>
      <c r="L109" s="138"/>
      <c r="O109" s="138"/>
      <c r="R109" s="138"/>
      <c r="U109" s="138"/>
      <c r="X109" s="138"/>
    </row>
    <row r="110" spans="4:24" ht="12.75" customHeight="1" x14ac:dyDescent="0.25">
      <c r="D110" s="138"/>
      <c r="E110" s="138"/>
      <c r="L110" s="138"/>
      <c r="O110" s="138"/>
      <c r="R110" s="138"/>
      <c r="U110" s="138"/>
      <c r="X110" s="138"/>
    </row>
    <row r="111" spans="4:24" ht="12.75" customHeight="1" x14ac:dyDescent="0.25">
      <c r="D111" s="138"/>
      <c r="E111" s="138"/>
      <c r="L111" s="138"/>
      <c r="O111" s="138"/>
      <c r="R111" s="138"/>
      <c r="U111" s="138"/>
      <c r="X111" s="138"/>
    </row>
    <row r="112" spans="4:24" ht="12.75" customHeight="1" x14ac:dyDescent="0.25">
      <c r="D112" s="138"/>
      <c r="E112" s="138"/>
      <c r="L112" s="138"/>
      <c r="O112" s="138"/>
      <c r="R112" s="138"/>
      <c r="U112" s="138"/>
      <c r="X112" s="138"/>
    </row>
    <row r="113" spans="4:24" ht="12.75" customHeight="1" x14ac:dyDescent="0.25">
      <c r="D113" s="138"/>
      <c r="E113" s="138"/>
      <c r="L113" s="138"/>
      <c r="O113" s="138"/>
      <c r="R113" s="138"/>
      <c r="U113" s="138"/>
      <c r="X113" s="138"/>
    </row>
    <row r="114" spans="4:24" ht="12.75" customHeight="1" x14ac:dyDescent="0.25">
      <c r="D114" s="138"/>
      <c r="E114" s="138"/>
      <c r="L114" s="138"/>
      <c r="O114" s="138"/>
      <c r="R114" s="138"/>
      <c r="U114" s="138"/>
      <c r="X114" s="138"/>
    </row>
    <row r="115" spans="4:24" ht="12.75" customHeight="1" x14ac:dyDescent="0.25">
      <c r="D115" s="138"/>
      <c r="E115" s="138"/>
      <c r="L115" s="138"/>
      <c r="O115" s="138"/>
      <c r="R115" s="138"/>
      <c r="U115" s="138"/>
      <c r="X115" s="138"/>
    </row>
    <row r="116" spans="4:24" ht="12.75" customHeight="1" x14ac:dyDescent="0.25">
      <c r="D116" s="138"/>
      <c r="E116" s="138"/>
      <c r="L116" s="138"/>
      <c r="O116" s="138"/>
      <c r="R116" s="138"/>
      <c r="U116" s="138"/>
      <c r="X116" s="138"/>
    </row>
    <row r="117" spans="4:24" ht="12.75" customHeight="1" x14ac:dyDescent="0.25">
      <c r="D117" s="138"/>
      <c r="E117" s="138"/>
      <c r="L117" s="138"/>
      <c r="O117" s="138"/>
      <c r="R117" s="138"/>
      <c r="U117" s="138"/>
      <c r="X117" s="138"/>
    </row>
    <row r="118" spans="4:24" ht="12.75" customHeight="1" x14ac:dyDescent="0.25">
      <c r="D118" s="138"/>
      <c r="E118" s="138"/>
      <c r="L118" s="138"/>
      <c r="O118" s="138"/>
      <c r="R118" s="138"/>
      <c r="U118" s="138"/>
      <c r="X118" s="138"/>
    </row>
    <row r="119" spans="4:24" ht="12.75" customHeight="1" x14ac:dyDescent="0.25">
      <c r="D119" s="138"/>
      <c r="E119" s="138"/>
      <c r="L119" s="138"/>
      <c r="O119" s="138"/>
      <c r="R119" s="138"/>
      <c r="U119" s="138"/>
      <c r="X119" s="138"/>
    </row>
    <row r="120" spans="4:24" ht="12.75" customHeight="1" x14ac:dyDescent="0.25">
      <c r="D120" s="138"/>
      <c r="E120" s="138"/>
      <c r="L120" s="138"/>
      <c r="O120" s="138"/>
      <c r="R120" s="138"/>
      <c r="U120" s="138"/>
      <c r="X120" s="138"/>
    </row>
    <row r="121" spans="4:24" ht="12.75" customHeight="1" x14ac:dyDescent="0.25">
      <c r="D121" s="138"/>
      <c r="E121" s="138"/>
      <c r="L121" s="138"/>
      <c r="O121" s="138"/>
      <c r="R121" s="138"/>
      <c r="U121" s="138"/>
      <c r="X121" s="138"/>
    </row>
    <row r="122" spans="4:24" ht="12.75" customHeight="1" x14ac:dyDescent="0.25">
      <c r="D122" s="138"/>
      <c r="E122" s="138"/>
      <c r="L122" s="138"/>
      <c r="O122" s="138"/>
      <c r="R122" s="138"/>
      <c r="U122" s="138"/>
      <c r="X122" s="138"/>
    </row>
    <row r="123" spans="4:24" ht="12.75" customHeight="1" x14ac:dyDescent="0.25">
      <c r="D123" s="138"/>
      <c r="E123" s="138"/>
      <c r="L123" s="138"/>
      <c r="O123" s="138"/>
      <c r="R123" s="138"/>
      <c r="U123" s="138"/>
      <c r="X123" s="138"/>
    </row>
    <row r="124" spans="4:24" ht="12.75" customHeight="1" x14ac:dyDescent="0.25">
      <c r="D124" s="138"/>
      <c r="E124" s="138"/>
      <c r="L124" s="138"/>
      <c r="O124" s="138"/>
      <c r="R124" s="138"/>
      <c r="U124" s="138"/>
      <c r="X124" s="138"/>
    </row>
    <row r="125" spans="4:24" ht="12.75" customHeight="1" x14ac:dyDescent="0.25">
      <c r="D125" s="138"/>
      <c r="E125" s="138"/>
      <c r="L125" s="138"/>
      <c r="O125" s="138"/>
      <c r="R125" s="138"/>
      <c r="U125" s="138"/>
      <c r="X125" s="138"/>
    </row>
    <row r="126" spans="4:24" ht="12.75" customHeight="1" x14ac:dyDescent="0.25">
      <c r="D126" s="138"/>
      <c r="E126" s="138"/>
      <c r="L126" s="138"/>
      <c r="O126" s="138"/>
      <c r="R126" s="138"/>
      <c r="U126" s="138"/>
      <c r="X126" s="138"/>
    </row>
    <row r="127" spans="4:24" ht="12.75" customHeight="1" x14ac:dyDescent="0.25">
      <c r="D127" s="138"/>
      <c r="E127" s="138"/>
      <c r="L127" s="138"/>
      <c r="O127" s="138"/>
      <c r="R127" s="138"/>
      <c r="U127" s="138"/>
      <c r="X127" s="138"/>
    </row>
    <row r="128" spans="4:24" ht="12.75" customHeight="1" x14ac:dyDescent="0.25">
      <c r="D128" s="138"/>
      <c r="E128" s="138"/>
      <c r="L128" s="138"/>
      <c r="O128" s="138"/>
      <c r="R128" s="138"/>
      <c r="U128" s="138"/>
      <c r="X128" s="138"/>
    </row>
    <row r="129" spans="4:24" ht="12.75" customHeight="1" x14ac:dyDescent="0.25">
      <c r="D129" s="138"/>
      <c r="E129" s="138"/>
      <c r="L129" s="138"/>
      <c r="O129" s="138"/>
      <c r="R129" s="138"/>
      <c r="U129" s="138"/>
      <c r="X129" s="138"/>
    </row>
    <row r="130" spans="4:24" ht="12.75" customHeight="1" x14ac:dyDescent="0.25">
      <c r="D130" s="138"/>
      <c r="E130" s="138"/>
      <c r="L130" s="138"/>
      <c r="O130" s="138"/>
      <c r="R130" s="138"/>
      <c r="U130" s="138"/>
      <c r="X130" s="138"/>
    </row>
    <row r="131" spans="4:24" ht="12.75" customHeight="1" x14ac:dyDescent="0.25">
      <c r="D131" s="138"/>
      <c r="E131" s="138"/>
      <c r="L131" s="138"/>
      <c r="O131" s="138"/>
      <c r="R131" s="138"/>
      <c r="U131" s="138"/>
      <c r="X131" s="138"/>
    </row>
    <row r="132" spans="4:24" ht="12.75" customHeight="1" x14ac:dyDescent="0.25">
      <c r="D132" s="138"/>
      <c r="E132" s="138"/>
      <c r="L132" s="138"/>
      <c r="O132" s="138"/>
      <c r="R132" s="138"/>
      <c r="U132" s="138"/>
      <c r="X132" s="138"/>
    </row>
    <row r="133" spans="4:24" ht="12.75" customHeight="1" x14ac:dyDescent="0.25">
      <c r="D133" s="138"/>
      <c r="E133" s="138"/>
      <c r="L133" s="138"/>
      <c r="O133" s="138"/>
      <c r="R133" s="138"/>
      <c r="U133" s="138"/>
      <c r="X133" s="138"/>
    </row>
    <row r="134" spans="4:24" ht="12.75" customHeight="1" x14ac:dyDescent="0.25">
      <c r="D134" s="138"/>
      <c r="E134" s="138"/>
      <c r="L134" s="138"/>
      <c r="O134" s="138"/>
      <c r="R134" s="138"/>
      <c r="U134" s="138"/>
      <c r="X134" s="138"/>
    </row>
    <row r="135" spans="4:24" ht="12.75" customHeight="1" x14ac:dyDescent="0.25">
      <c r="D135" s="138"/>
      <c r="E135" s="138"/>
      <c r="L135" s="138"/>
      <c r="O135" s="138"/>
      <c r="R135" s="138"/>
      <c r="U135" s="138"/>
      <c r="X135" s="138"/>
    </row>
    <row r="136" spans="4:24" ht="12.75" customHeight="1" x14ac:dyDescent="0.25">
      <c r="D136" s="138"/>
      <c r="E136" s="138"/>
      <c r="L136" s="138"/>
      <c r="O136" s="138"/>
      <c r="R136" s="138"/>
      <c r="U136" s="138"/>
      <c r="X136" s="138"/>
    </row>
    <row r="137" spans="4:24" ht="12.75" customHeight="1" x14ac:dyDescent="0.25">
      <c r="D137" s="138"/>
      <c r="E137" s="138"/>
      <c r="L137" s="138"/>
      <c r="O137" s="138"/>
      <c r="R137" s="138"/>
      <c r="U137" s="138"/>
      <c r="X137" s="138"/>
    </row>
    <row r="138" spans="4:24" ht="12.75" customHeight="1" x14ac:dyDescent="0.25">
      <c r="D138" s="138"/>
      <c r="E138" s="138"/>
      <c r="L138" s="138"/>
      <c r="O138" s="138"/>
      <c r="R138" s="138"/>
      <c r="U138" s="138"/>
      <c r="X138" s="138"/>
    </row>
    <row r="139" spans="4:24" ht="12.75" customHeight="1" x14ac:dyDescent="0.25">
      <c r="D139" s="138"/>
      <c r="E139" s="138"/>
      <c r="L139" s="138"/>
      <c r="O139" s="138"/>
      <c r="R139" s="138"/>
      <c r="U139" s="138"/>
      <c r="X139" s="138"/>
    </row>
    <row r="140" spans="4:24" ht="12.75" customHeight="1" x14ac:dyDescent="0.25">
      <c r="D140" s="138"/>
      <c r="E140" s="138"/>
      <c r="L140" s="138"/>
      <c r="O140" s="138"/>
      <c r="R140" s="138"/>
      <c r="U140" s="138"/>
      <c r="X140" s="138"/>
    </row>
    <row r="141" spans="4:24" ht="12.75" customHeight="1" x14ac:dyDescent="0.25">
      <c r="D141" s="138"/>
      <c r="E141" s="138"/>
      <c r="L141" s="138"/>
      <c r="O141" s="138"/>
      <c r="R141" s="138"/>
      <c r="U141" s="138"/>
      <c r="X141" s="138"/>
    </row>
    <row r="142" spans="4:24" ht="12.75" customHeight="1" x14ac:dyDescent="0.25">
      <c r="D142" s="138"/>
      <c r="E142" s="138"/>
      <c r="L142" s="138"/>
      <c r="O142" s="138"/>
      <c r="R142" s="138"/>
      <c r="U142" s="138"/>
      <c r="X142" s="138"/>
    </row>
    <row r="143" spans="4:24" ht="12.75" customHeight="1" x14ac:dyDescent="0.25">
      <c r="D143" s="138"/>
      <c r="E143" s="138"/>
      <c r="L143" s="138"/>
      <c r="O143" s="138"/>
      <c r="R143" s="138"/>
      <c r="U143" s="138"/>
      <c r="X143" s="138"/>
    </row>
    <row r="144" spans="4:24" ht="12.75" customHeight="1" x14ac:dyDescent="0.25">
      <c r="D144" s="138"/>
      <c r="E144" s="138"/>
      <c r="L144" s="138"/>
      <c r="O144" s="138"/>
      <c r="R144" s="138"/>
      <c r="U144" s="138"/>
      <c r="X144" s="138"/>
    </row>
    <row r="145" spans="4:24" ht="12.75" customHeight="1" x14ac:dyDescent="0.25">
      <c r="D145" s="138"/>
      <c r="E145" s="138"/>
      <c r="L145" s="138"/>
      <c r="O145" s="138"/>
      <c r="R145" s="138"/>
      <c r="U145" s="138"/>
      <c r="X145" s="138"/>
    </row>
    <row r="146" spans="4:24" ht="12.75" customHeight="1" x14ac:dyDescent="0.25">
      <c r="D146" s="138"/>
      <c r="E146" s="138"/>
      <c r="L146" s="138"/>
      <c r="O146" s="138"/>
      <c r="R146" s="138"/>
      <c r="U146" s="138"/>
      <c r="X146" s="138"/>
    </row>
    <row r="147" spans="4:24" ht="12.75" customHeight="1" x14ac:dyDescent="0.25">
      <c r="D147" s="138"/>
      <c r="E147" s="138"/>
      <c r="L147" s="138"/>
      <c r="O147" s="138"/>
      <c r="R147" s="138"/>
      <c r="U147" s="138"/>
      <c r="X147" s="138"/>
    </row>
    <row r="148" spans="4:24" ht="12.75" customHeight="1" x14ac:dyDescent="0.25">
      <c r="D148" s="138"/>
      <c r="E148" s="138"/>
      <c r="L148" s="138"/>
      <c r="O148" s="138"/>
      <c r="R148" s="138"/>
      <c r="U148" s="138"/>
      <c r="X148" s="138"/>
    </row>
    <row r="149" spans="4:24" ht="12.75" customHeight="1" x14ac:dyDescent="0.25">
      <c r="D149" s="138"/>
      <c r="E149" s="138"/>
      <c r="L149" s="138"/>
      <c r="O149" s="138"/>
      <c r="R149" s="138"/>
      <c r="U149" s="138"/>
      <c r="X149" s="138"/>
    </row>
    <row r="150" spans="4:24" ht="12.75" customHeight="1" x14ac:dyDescent="0.25">
      <c r="D150" s="138"/>
      <c r="E150" s="138"/>
      <c r="L150" s="138"/>
      <c r="O150" s="138"/>
      <c r="R150" s="138"/>
      <c r="U150" s="138"/>
      <c r="X150" s="138"/>
    </row>
    <row r="151" spans="4:24" ht="12.75" customHeight="1" x14ac:dyDescent="0.25">
      <c r="D151" s="138"/>
      <c r="E151" s="138"/>
      <c r="L151" s="138"/>
      <c r="O151" s="138"/>
      <c r="R151" s="138"/>
      <c r="U151" s="138"/>
      <c r="X151" s="138"/>
    </row>
    <row r="152" spans="4:24" ht="12.75" customHeight="1" x14ac:dyDescent="0.25">
      <c r="D152" s="138"/>
      <c r="E152" s="138"/>
      <c r="L152" s="138"/>
      <c r="O152" s="138"/>
      <c r="R152" s="138"/>
      <c r="U152" s="138"/>
      <c r="X152" s="138"/>
    </row>
    <row r="153" spans="4:24" ht="12.75" customHeight="1" x14ac:dyDescent="0.25">
      <c r="D153" s="138"/>
      <c r="E153" s="138"/>
      <c r="L153" s="138"/>
      <c r="O153" s="138"/>
      <c r="R153" s="138"/>
      <c r="U153" s="138"/>
      <c r="X153" s="138"/>
    </row>
    <row r="154" spans="4:24" ht="12.75" customHeight="1" x14ac:dyDescent="0.25">
      <c r="D154" s="138"/>
      <c r="E154" s="138"/>
      <c r="L154" s="138"/>
      <c r="O154" s="138"/>
      <c r="R154" s="138"/>
      <c r="U154" s="138"/>
      <c r="X154" s="138"/>
    </row>
    <row r="155" spans="4:24" ht="12.75" customHeight="1" x14ac:dyDescent="0.25">
      <c r="D155" s="138"/>
      <c r="E155" s="138"/>
      <c r="L155" s="138"/>
      <c r="O155" s="138"/>
      <c r="R155" s="138"/>
      <c r="U155" s="138"/>
      <c r="X155" s="138"/>
    </row>
    <row r="156" spans="4:24" ht="12.75" customHeight="1" x14ac:dyDescent="0.25">
      <c r="D156" s="138"/>
      <c r="E156" s="138"/>
      <c r="L156" s="138"/>
      <c r="O156" s="138"/>
      <c r="R156" s="138"/>
      <c r="U156" s="138"/>
      <c r="X156" s="138"/>
    </row>
    <row r="157" spans="4:24" ht="12.75" customHeight="1" x14ac:dyDescent="0.25">
      <c r="D157" s="138"/>
      <c r="E157" s="138"/>
      <c r="L157" s="138"/>
      <c r="O157" s="138"/>
      <c r="R157" s="138"/>
      <c r="U157" s="138"/>
      <c r="X157" s="138"/>
    </row>
    <row r="158" spans="4:24" ht="12.75" customHeight="1" x14ac:dyDescent="0.25">
      <c r="D158" s="138"/>
      <c r="E158" s="138"/>
      <c r="L158" s="138"/>
      <c r="O158" s="138"/>
      <c r="R158" s="138"/>
      <c r="U158" s="138"/>
      <c r="X158" s="138"/>
    </row>
    <row r="159" spans="4:24" ht="12.75" customHeight="1" x14ac:dyDescent="0.25">
      <c r="D159" s="138"/>
      <c r="E159" s="138"/>
      <c r="L159" s="138"/>
      <c r="O159" s="138"/>
      <c r="R159" s="138"/>
      <c r="U159" s="138"/>
      <c r="X159" s="138"/>
    </row>
    <row r="160" spans="4:24" ht="12.75" customHeight="1" x14ac:dyDescent="0.25">
      <c r="D160" s="138"/>
      <c r="E160" s="138"/>
      <c r="L160" s="138"/>
      <c r="O160" s="138"/>
      <c r="R160" s="138"/>
      <c r="U160" s="138"/>
      <c r="X160" s="138"/>
    </row>
    <row r="161" spans="4:24" ht="12.75" customHeight="1" x14ac:dyDescent="0.25">
      <c r="D161" s="138"/>
      <c r="E161" s="138"/>
      <c r="L161" s="138"/>
      <c r="O161" s="138"/>
      <c r="R161" s="138"/>
      <c r="U161" s="138"/>
      <c r="X161" s="138"/>
    </row>
    <row r="162" spans="4:24" ht="12.75" customHeight="1" x14ac:dyDescent="0.25">
      <c r="D162" s="138"/>
      <c r="E162" s="138"/>
      <c r="L162" s="138"/>
      <c r="O162" s="138"/>
      <c r="R162" s="138"/>
      <c r="U162" s="138"/>
      <c r="X162" s="138"/>
    </row>
    <row r="163" spans="4:24" ht="12.75" customHeight="1" x14ac:dyDescent="0.25">
      <c r="D163" s="138"/>
      <c r="E163" s="138"/>
      <c r="L163" s="138"/>
      <c r="O163" s="138"/>
      <c r="R163" s="138"/>
      <c r="U163" s="138"/>
      <c r="X163" s="138"/>
    </row>
    <row r="164" spans="4:24" ht="12.75" customHeight="1" x14ac:dyDescent="0.25">
      <c r="D164" s="138"/>
      <c r="E164" s="138"/>
      <c r="L164" s="138"/>
      <c r="O164" s="138"/>
      <c r="R164" s="138"/>
      <c r="U164" s="138"/>
      <c r="X164" s="138"/>
    </row>
    <row r="165" spans="4:24" ht="12.75" customHeight="1" x14ac:dyDescent="0.25">
      <c r="D165" s="138"/>
      <c r="E165" s="138"/>
      <c r="L165" s="138"/>
      <c r="O165" s="138"/>
      <c r="R165" s="138"/>
      <c r="U165" s="138"/>
      <c r="X165" s="138"/>
    </row>
    <row r="166" spans="4:24" ht="12.75" customHeight="1" x14ac:dyDescent="0.25">
      <c r="D166" s="138"/>
      <c r="E166" s="138"/>
      <c r="L166" s="138"/>
      <c r="O166" s="138"/>
      <c r="R166" s="138"/>
      <c r="U166" s="138"/>
      <c r="X166" s="138"/>
    </row>
    <row r="167" spans="4:24" ht="12.75" customHeight="1" x14ac:dyDescent="0.25">
      <c r="D167" s="138"/>
      <c r="E167" s="138"/>
      <c r="L167" s="138"/>
      <c r="O167" s="138"/>
      <c r="R167" s="138"/>
      <c r="U167" s="138"/>
      <c r="X167" s="138"/>
    </row>
    <row r="168" spans="4:24" ht="12.75" customHeight="1" x14ac:dyDescent="0.25">
      <c r="D168" s="138"/>
      <c r="E168" s="138"/>
      <c r="L168" s="138"/>
      <c r="O168" s="138"/>
      <c r="R168" s="138"/>
      <c r="U168" s="138"/>
      <c r="X168" s="138"/>
    </row>
    <row r="169" spans="4:24" ht="12.75" customHeight="1" x14ac:dyDescent="0.25">
      <c r="D169" s="138"/>
      <c r="E169" s="138"/>
      <c r="L169" s="138"/>
      <c r="O169" s="138"/>
      <c r="R169" s="138"/>
      <c r="U169" s="138"/>
      <c r="X169" s="138"/>
    </row>
    <row r="170" spans="4:24" ht="12.75" customHeight="1" x14ac:dyDescent="0.25">
      <c r="D170" s="138"/>
      <c r="E170" s="138"/>
      <c r="L170" s="138"/>
      <c r="O170" s="138"/>
      <c r="R170" s="138"/>
      <c r="U170" s="138"/>
      <c r="X170" s="138"/>
    </row>
    <row r="171" spans="4:24" ht="12.75" customHeight="1" x14ac:dyDescent="0.25">
      <c r="D171" s="138"/>
      <c r="E171" s="138"/>
      <c r="L171" s="138"/>
      <c r="O171" s="138"/>
      <c r="R171" s="138"/>
      <c r="U171" s="138"/>
      <c r="X171" s="138"/>
    </row>
    <row r="172" spans="4:24" ht="12.75" customHeight="1" x14ac:dyDescent="0.25">
      <c r="D172" s="138"/>
      <c r="E172" s="138"/>
      <c r="L172" s="138"/>
      <c r="O172" s="138"/>
      <c r="R172" s="138"/>
      <c r="U172" s="138"/>
      <c r="X172" s="138"/>
    </row>
    <row r="173" spans="4:24" ht="12.75" customHeight="1" x14ac:dyDescent="0.25">
      <c r="D173" s="138"/>
      <c r="E173" s="138"/>
      <c r="L173" s="138"/>
      <c r="O173" s="138"/>
      <c r="R173" s="138"/>
      <c r="U173" s="138"/>
      <c r="X173" s="138"/>
    </row>
    <row r="174" spans="4:24" ht="12.75" customHeight="1" x14ac:dyDescent="0.25">
      <c r="D174" s="138"/>
      <c r="E174" s="138"/>
      <c r="L174" s="138"/>
      <c r="O174" s="138"/>
      <c r="R174" s="138"/>
      <c r="U174" s="138"/>
      <c r="X174" s="138"/>
    </row>
    <row r="175" spans="4:24" ht="12.75" customHeight="1" x14ac:dyDescent="0.25">
      <c r="D175" s="138"/>
      <c r="E175" s="138"/>
      <c r="L175" s="138"/>
      <c r="O175" s="138"/>
      <c r="R175" s="138"/>
      <c r="U175" s="138"/>
      <c r="X175" s="138"/>
    </row>
    <row r="176" spans="4:24" ht="12.75" customHeight="1" x14ac:dyDescent="0.25">
      <c r="D176" s="138"/>
      <c r="E176" s="138"/>
      <c r="L176" s="138"/>
      <c r="O176" s="138"/>
      <c r="R176" s="138"/>
      <c r="U176" s="138"/>
      <c r="X176" s="138"/>
    </row>
    <row r="177" spans="4:24" ht="12.75" customHeight="1" x14ac:dyDescent="0.25">
      <c r="D177" s="138"/>
      <c r="E177" s="138"/>
      <c r="L177" s="138"/>
      <c r="O177" s="138"/>
      <c r="R177" s="138"/>
      <c r="U177" s="138"/>
      <c r="X177" s="138"/>
    </row>
    <row r="178" spans="4:24" ht="12.75" customHeight="1" x14ac:dyDescent="0.25">
      <c r="D178" s="138"/>
      <c r="E178" s="138"/>
      <c r="L178" s="138"/>
      <c r="O178" s="138"/>
      <c r="R178" s="138"/>
      <c r="U178" s="138"/>
      <c r="X178" s="138"/>
    </row>
    <row r="179" spans="4:24" ht="12.75" customHeight="1" x14ac:dyDescent="0.25">
      <c r="D179" s="138"/>
      <c r="E179" s="138"/>
      <c r="L179" s="138"/>
      <c r="O179" s="138"/>
      <c r="R179" s="138"/>
      <c r="U179" s="138"/>
      <c r="X179" s="138"/>
    </row>
    <row r="180" spans="4:24" ht="12.75" customHeight="1" x14ac:dyDescent="0.25">
      <c r="D180" s="138"/>
      <c r="E180" s="138"/>
      <c r="L180" s="138"/>
      <c r="O180" s="138"/>
      <c r="R180" s="138"/>
      <c r="U180" s="138"/>
      <c r="X180" s="138"/>
    </row>
    <row r="181" spans="4:24" ht="12.75" customHeight="1" x14ac:dyDescent="0.25">
      <c r="D181" s="138"/>
      <c r="E181" s="138"/>
      <c r="L181" s="138"/>
      <c r="O181" s="138"/>
      <c r="R181" s="138"/>
      <c r="U181" s="138"/>
      <c r="X181" s="138"/>
    </row>
    <row r="182" spans="4:24" ht="12.75" customHeight="1" x14ac:dyDescent="0.25">
      <c r="D182" s="138"/>
      <c r="E182" s="138"/>
      <c r="L182" s="138"/>
      <c r="O182" s="138"/>
      <c r="R182" s="138"/>
      <c r="U182" s="138"/>
      <c r="X182" s="138"/>
    </row>
    <row r="183" spans="4:24" ht="12.75" customHeight="1" x14ac:dyDescent="0.25">
      <c r="D183" s="138"/>
      <c r="E183" s="138"/>
      <c r="L183" s="138"/>
      <c r="O183" s="138"/>
      <c r="R183" s="138"/>
      <c r="U183" s="138"/>
      <c r="X183" s="138"/>
    </row>
    <row r="184" spans="4:24" ht="12.75" customHeight="1" x14ac:dyDescent="0.25">
      <c r="D184" s="138"/>
      <c r="E184" s="138"/>
      <c r="L184" s="138"/>
      <c r="O184" s="138"/>
      <c r="R184" s="138"/>
      <c r="U184" s="138"/>
      <c r="X184" s="138"/>
    </row>
    <row r="185" spans="4:24" ht="12.75" customHeight="1" x14ac:dyDescent="0.25">
      <c r="D185" s="138"/>
      <c r="E185" s="138"/>
      <c r="L185" s="138"/>
      <c r="O185" s="138"/>
      <c r="R185" s="138"/>
      <c r="U185" s="138"/>
      <c r="X185" s="138"/>
    </row>
    <row r="186" spans="4:24" ht="12.75" customHeight="1" x14ac:dyDescent="0.25">
      <c r="D186" s="138"/>
      <c r="E186" s="138"/>
      <c r="L186" s="138"/>
      <c r="O186" s="138"/>
      <c r="R186" s="138"/>
      <c r="U186" s="138"/>
      <c r="X186" s="138"/>
    </row>
    <row r="187" spans="4:24" ht="12.75" customHeight="1" x14ac:dyDescent="0.25">
      <c r="D187" s="138"/>
      <c r="E187" s="138"/>
      <c r="L187" s="138"/>
      <c r="O187" s="138"/>
      <c r="R187" s="138"/>
      <c r="U187" s="138"/>
      <c r="X187" s="138"/>
    </row>
    <row r="188" spans="4:24" ht="12.75" customHeight="1" x14ac:dyDescent="0.25">
      <c r="D188" s="138"/>
      <c r="E188" s="138"/>
      <c r="L188" s="138"/>
      <c r="O188" s="138"/>
      <c r="R188" s="138"/>
      <c r="U188" s="138"/>
      <c r="X188" s="138"/>
    </row>
    <row r="189" spans="4:24" ht="12.75" customHeight="1" x14ac:dyDescent="0.25">
      <c r="D189" s="138"/>
      <c r="E189" s="138"/>
      <c r="L189" s="138"/>
      <c r="O189" s="138"/>
      <c r="R189" s="138"/>
      <c r="U189" s="138"/>
      <c r="X189" s="138"/>
    </row>
    <row r="190" spans="4:24" ht="12.75" customHeight="1" x14ac:dyDescent="0.25">
      <c r="D190" s="138"/>
      <c r="E190" s="138"/>
      <c r="L190" s="138"/>
      <c r="O190" s="138"/>
      <c r="R190" s="138"/>
      <c r="U190" s="138"/>
      <c r="X190" s="138"/>
    </row>
    <row r="191" spans="4:24" ht="12.75" customHeight="1" x14ac:dyDescent="0.25">
      <c r="D191" s="138"/>
      <c r="E191" s="138"/>
      <c r="L191" s="138"/>
      <c r="O191" s="138"/>
      <c r="R191" s="138"/>
      <c r="U191" s="138"/>
      <c r="X191" s="138"/>
    </row>
    <row r="192" spans="4:24" ht="12.75" customHeight="1" x14ac:dyDescent="0.25">
      <c r="D192" s="138"/>
      <c r="E192" s="138"/>
      <c r="L192" s="138"/>
      <c r="O192" s="138"/>
      <c r="R192" s="138"/>
      <c r="U192" s="138"/>
      <c r="X192" s="138"/>
    </row>
    <row r="193" spans="4:24" ht="12.75" customHeight="1" x14ac:dyDescent="0.25">
      <c r="D193" s="138"/>
      <c r="E193" s="138"/>
      <c r="L193" s="138"/>
      <c r="O193" s="138"/>
      <c r="R193" s="138"/>
      <c r="U193" s="138"/>
      <c r="X193" s="138"/>
    </row>
    <row r="194" spans="4:24" ht="12.75" customHeight="1" x14ac:dyDescent="0.25">
      <c r="D194" s="138"/>
      <c r="E194" s="138"/>
      <c r="L194" s="138"/>
      <c r="O194" s="138"/>
      <c r="R194" s="138"/>
      <c r="U194" s="138"/>
      <c r="X194" s="138"/>
    </row>
    <row r="195" spans="4:24" ht="12.75" customHeight="1" x14ac:dyDescent="0.25">
      <c r="D195" s="138"/>
      <c r="E195" s="138"/>
      <c r="L195" s="138"/>
      <c r="O195" s="138"/>
      <c r="R195" s="138"/>
      <c r="U195" s="138"/>
      <c r="X195" s="138"/>
    </row>
    <row r="196" spans="4:24" ht="12.75" customHeight="1" x14ac:dyDescent="0.25">
      <c r="D196" s="138"/>
      <c r="E196" s="138"/>
      <c r="L196" s="138"/>
      <c r="O196" s="138"/>
      <c r="R196" s="138"/>
      <c r="U196" s="138"/>
      <c r="X196" s="138"/>
    </row>
    <row r="197" spans="4:24" ht="12.75" customHeight="1" x14ac:dyDescent="0.25">
      <c r="D197" s="138"/>
      <c r="E197" s="138"/>
      <c r="L197" s="138"/>
      <c r="O197" s="138"/>
      <c r="R197" s="138"/>
      <c r="U197" s="138"/>
      <c r="X197" s="138"/>
    </row>
    <row r="198" spans="4:24" ht="12.75" customHeight="1" x14ac:dyDescent="0.25">
      <c r="D198" s="138"/>
      <c r="E198" s="138"/>
      <c r="L198" s="138"/>
      <c r="O198" s="138"/>
      <c r="R198" s="138"/>
      <c r="U198" s="138"/>
      <c r="X198" s="138"/>
    </row>
    <row r="199" spans="4:24" ht="12.75" customHeight="1" x14ac:dyDescent="0.25">
      <c r="D199" s="138"/>
      <c r="E199" s="138"/>
      <c r="L199" s="138"/>
      <c r="O199" s="138"/>
      <c r="R199" s="138"/>
      <c r="U199" s="138"/>
      <c r="X199" s="138"/>
    </row>
    <row r="200" spans="4:24" ht="12.75" customHeight="1" x14ac:dyDescent="0.25">
      <c r="D200" s="138"/>
      <c r="E200" s="138"/>
      <c r="L200" s="138"/>
      <c r="O200" s="138"/>
      <c r="R200" s="138"/>
      <c r="U200" s="138"/>
      <c r="X200" s="138"/>
    </row>
    <row r="201" spans="4:24" ht="12.75" customHeight="1" x14ac:dyDescent="0.25">
      <c r="D201" s="138"/>
      <c r="E201" s="138"/>
      <c r="L201" s="138"/>
      <c r="O201" s="138"/>
      <c r="R201" s="138"/>
      <c r="U201" s="138"/>
      <c r="X201" s="138"/>
    </row>
    <row r="202" spans="4:24" ht="12.75" customHeight="1" x14ac:dyDescent="0.25">
      <c r="D202" s="138"/>
      <c r="E202" s="138"/>
      <c r="L202" s="138"/>
      <c r="O202" s="138"/>
      <c r="R202" s="138"/>
      <c r="U202" s="138"/>
      <c r="X202" s="138"/>
    </row>
    <row r="203" spans="4:24" ht="12.75" customHeight="1" x14ac:dyDescent="0.25">
      <c r="D203" s="138"/>
      <c r="E203" s="138"/>
      <c r="L203" s="138"/>
      <c r="O203" s="138"/>
      <c r="R203" s="138"/>
      <c r="U203" s="138"/>
      <c r="X203" s="138"/>
    </row>
    <row r="204" spans="4:24" ht="12.75" customHeight="1" x14ac:dyDescent="0.25">
      <c r="D204" s="138"/>
      <c r="E204" s="138"/>
      <c r="L204" s="138"/>
      <c r="O204" s="138"/>
      <c r="R204" s="138"/>
      <c r="U204" s="138"/>
      <c r="X204" s="138"/>
    </row>
    <row r="205" spans="4:24" ht="12.75" customHeight="1" x14ac:dyDescent="0.25">
      <c r="D205" s="138"/>
      <c r="E205" s="138"/>
      <c r="L205" s="138"/>
      <c r="O205" s="138"/>
      <c r="R205" s="138"/>
      <c r="U205" s="138"/>
      <c r="X205" s="138"/>
    </row>
    <row r="206" spans="4:24" ht="12.75" customHeight="1" x14ac:dyDescent="0.25">
      <c r="D206" s="138"/>
      <c r="E206" s="138"/>
      <c r="L206" s="138"/>
      <c r="O206" s="138"/>
      <c r="R206" s="138"/>
      <c r="U206" s="138"/>
      <c r="X206" s="138"/>
    </row>
    <row r="207" spans="4:24" ht="12.75" customHeight="1" x14ac:dyDescent="0.25">
      <c r="D207" s="138"/>
      <c r="E207" s="138"/>
      <c r="L207" s="138"/>
      <c r="O207" s="138"/>
      <c r="R207" s="138"/>
      <c r="U207" s="138"/>
      <c r="X207" s="138"/>
    </row>
    <row r="208" spans="4:24" ht="12.75" customHeight="1" x14ac:dyDescent="0.25">
      <c r="D208" s="138"/>
      <c r="E208" s="138"/>
      <c r="L208" s="138"/>
      <c r="O208" s="138"/>
      <c r="R208" s="138"/>
      <c r="U208" s="138"/>
      <c r="X208" s="138"/>
    </row>
    <row r="209" spans="4:24" ht="12.75" customHeight="1" x14ac:dyDescent="0.25">
      <c r="D209" s="138"/>
      <c r="E209" s="138"/>
      <c r="L209" s="138"/>
      <c r="O209" s="138"/>
      <c r="R209" s="138"/>
      <c r="U209" s="138"/>
      <c r="X209" s="138"/>
    </row>
    <row r="210" spans="4:24" ht="12.75" customHeight="1" x14ac:dyDescent="0.25">
      <c r="D210" s="138"/>
      <c r="E210" s="138"/>
      <c r="L210" s="138"/>
      <c r="O210" s="138"/>
      <c r="R210" s="138"/>
      <c r="U210" s="138"/>
      <c r="X210" s="138"/>
    </row>
    <row r="211" spans="4:24" ht="12.75" customHeight="1" x14ac:dyDescent="0.25">
      <c r="D211" s="138"/>
      <c r="E211" s="138"/>
      <c r="L211" s="138"/>
      <c r="O211" s="138"/>
      <c r="R211" s="138"/>
      <c r="U211" s="138"/>
      <c r="X211" s="138"/>
    </row>
    <row r="212" spans="4:24" ht="12.75" customHeight="1" x14ac:dyDescent="0.25">
      <c r="D212" s="138"/>
      <c r="E212" s="138"/>
      <c r="L212" s="138"/>
      <c r="O212" s="138"/>
      <c r="R212" s="138"/>
      <c r="U212" s="138"/>
      <c r="X212" s="138"/>
    </row>
    <row r="213" spans="4:24" ht="12.75" customHeight="1" x14ac:dyDescent="0.25">
      <c r="D213" s="138"/>
      <c r="E213" s="138"/>
      <c r="L213" s="138"/>
      <c r="O213" s="138"/>
      <c r="R213" s="138"/>
      <c r="U213" s="138"/>
      <c r="X213" s="138"/>
    </row>
    <row r="214" spans="4:24" ht="12.75" customHeight="1" x14ac:dyDescent="0.25">
      <c r="D214" s="138"/>
      <c r="E214" s="138"/>
      <c r="L214" s="138"/>
      <c r="O214" s="138"/>
      <c r="R214" s="138"/>
      <c r="U214" s="138"/>
      <c r="X214" s="138"/>
    </row>
    <row r="215" spans="4:24" ht="12.75" customHeight="1" x14ac:dyDescent="0.25">
      <c r="D215" s="138"/>
      <c r="E215" s="138"/>
      <c r="L215" s="138"/>
      <c r="O215" s="138"/>
      <c r="R215" s="138"/>
      <c r="U215" s="138"/>
      <c r="X215" s="138"/>
    </row>
    <row r="216" spans="4:24" ht="12.75" customHeight="1" x14ac:dyDescent="0.25">
      <c r="D216" s="138"/>
      <c r="E216" s="138"/>
      <c r="L216" s="138"/>
      <c r="O216" s="138"/>
      <c r="R216" s="138"/>
      <c r="U216" s="138"/>
      <c r="X216" s="138"/>
    </row>
    <row r="217" spans="4:24" ht="12.75" customHeight="1" x14ac:dyDescent="0.25">
      <c r="D217" s="138"/>
      <c r="E217" s="138"/>
      <c r="L217" s="138"/>
      <c r="O217" s="138"/>
      <c r="R217" s="138"/>
      <c r="U217" s="138"/>
      <c r="X217" s="138"/>
    </row>
    <row r="218" spans="4:24" ht="12.75" customHeight="1" x14ac:dyDescent="0.25">
      <c r="D218" s="138"/>
      <c r="E218" s="138"/>
      <c r="L218" s="138"/>
      <c r="O218" s="138"/>
      <c r="R218" s="138"/>
      <c r="U218" s="138"/>
      <c r="X218" s="138"/>
    </row>
    <row r="219" spans="4:24" ht="12.75" customHeight="1" x14ac:dyDescent="0.25">
      <c r="D219" s="138"/>
      <c r="E219" s="138"/>
      <c r="L219" s="138"/>
      <c r="O219" s="138"/>
      <c r="R219" s="138"/>
      <c r="U219" s="138"/>
      <c r="X219" s="138"/>
    </row>
    <row r="220" spans="4:24" ht="12.75" customHeight="1" x14ac:dyDescent="0.25">
      <c r="D220" s="138"/>
      <c r="E220" s="138"/>
      <c r="L220" s="138"/>
      <c r="O220" s="138"/>
      <c r="R220" s="138"/>
      <c r="U220" s="138"/>
      <c r="X220" s="138"/>
    </row>
    <row r="221" spans="4:24" ht="12.75" customHeight="1" x14ac:dyDescent="0.25">
      <c r="D221" s="138"/>
      <c r="E221" s="138"/>
      <c r="L221" s="138"/>
      <c r="O221" s="138"/>
      <c r="R221" s="138"/>
      <c r="U221" s="138"/>
      <c r="X221" s="138"/>
    </row>
    <row r="222" spans="4:24" ht="12.75" customHeight="1" x14ac:dyDescent="0.25">
      <c r="D222" s="138"/>
      <c r="E222" s="138"/>
      <c r="L222" s="138"/>
      <c r="O222" s="138"/>
      <c r="R222" s="138"/>
      <c r="U222" s="138"/>
      <c r="X222" s="138"/>
    </row>
    <row r="223" spans="4:24" ht="12.75" customHeight="1" x14ac:dyDescent="0.25">
      <c r="D223" s="138"/>
      <c r="E223" s="138"/>
      <c r="L223" s="138"/>
      <c r="O223" s="138"/>
      <c r="R223" s="138"/>
      <c r="U223" s="138"/>
      <c r="X223" s="138"/>
    </row>
    <row r="224" spans="4:24" ht="12.75" customHeight="1" x14ac:dyDescent="0.25">
      <c r="D224" s="138"/>
      <c r="E224" s="138"/>
      <c r="L224" s="138"/>
      <c r="O224" s="138"/>
      <c r="R224" s="138"/>
      <c r="U224" s="138"/>
      <c r="X224" s="138"/>
    </row>
    <row r="225" spans="4:24" ht="12.75" customHeight="1" x14ac:dyDescent="0.25">
      <c r="D225" s="138"/>
      <c r="E225" s="138"/>
      <c r="L225" s="138"/>
      <c r="O225" s="138"/>
      <c r="R225" s="138"/>
      <c r="U225" s="138"/>
      <c r="X225" s="138"/>
    </row>
    <row r="226" spans="4:24" ht="12.75" customHeight="1" x14ac:dyDescent="0.25">
      <c r="D226" s="138"/>
      <c r="E226" s="138"/>
      <c r="L226" s="138"/>
      <c r="O226" s="138"/>
      <c r="R226" s="138"/>
      <c r="U226" s="138"/>
      <c r="X226" s="138"/>
    </row>
    <row r="227" spans="4:24" ht="12.75" customHeight="1" x14ac:dyDescent="0.25">
      <c r="D227" s="138"/>
      <c r="E227" s="138"/>
      <c r="L227" s="138"/>
      <c r="O227" s="138"/>
      <c r="R227" s="138"/>
      <c r="U227" s="138"/>
      <c r="X227" s="138"/>
    </row>
    <row r="228" spans="4:24" ht="12.75" customHeight="1" x14ac:dyDescent="0.25">
      <c r="D228" s="138"/>
      <c r="E228" s="138"/>
      <c r="L228" s="138"/>
      <c r="O228" s="138"/>
      <c r="R228" s="138"/>
      <c r="U228" s="138"/>
      <c r="X228" s="138"/>
    </row>
    <row r="229" spans="4:24" ht="12.75" customHeight="1" x14ac:dyDescent="0.25">
      <c r="D229" s="138"/>
      <c r="E229" s="138"/>
      <c r="L229" s="138"/>
      <c r="O229" s="138"/>
      <c r="R229" s="138"/>
      <c r="U229" s="138"/>
      <c r="X229" s="138"/>
    </row>
    <row r="230" spans="4:24" ht="12.75" customHeight="1" x14ac:dyDescent="0.25">
      <c r="D230" s="138"/>
      <c r="E230" s="138"/>
      <c r="L230" s="138"/>
      <c r="O230" s="138"/>
      <c r="R230" s="138"/>
      <c r="U230" s="138"/>
      <c r="X230" s="138"/>
    </row>
    <row r="231" spans="4:24" ht="12.75" customHeight="1" x14ac:dyDescent="0.25">
      <c r="D231" s="138"/>
      <c r="E231" s="138"/>
      <c r="L231" s="138"/>
      <c r="O231" s="138"/>
      <c r="R231" s="138"/>
      <c r="U231" s="138"/>
      <c r="X231" s="138"/>
    </row>
    <row r="232" spans="4:24" ht="12.75" customHeight="1" x14ac:dyDescent="0.25">
      <c r="D232" s="138"/>
      <c r="E232" s="138"/>
      <c r="L232" s="138"/>
      <c r="O232" s="138"/>
      <c r="R232" s="138"/>
      <c r="U232" s="138"/>
      <c r="X232" s="138"/>
    </row>
    <row r="233" spans="4:24" ht="12.75" customHeight="1" x14ac:dyDescent="0.25">
      <c r="D233" s="138"/>
      <c r="E233" s="138"/>
      <c r="L233" s="138"/>
      <c r="O233" s="138"/>
      <c r="R233" s="138"/>
      <c r="U233" s="138"/>
      <c r="X233" s="138"/>
    </row>
    <row r="234" spans="4:24" ht="12.75" customHeight="1" x14ac:dyDescent="0.25">
      <c r="D234" s="138"/>
      <c r="E234" s="138"/>
      <c r="L234" s="138"/>
      <c r="O234" s="138"/>
      <c r="R234" s="138"/>
      <c r="U234" s="138"/>
      <c r="X234" s="138"/>
    </row>
    <row r="235" spans="4:24" ht="12.75" customHeight="1" x14ac:dyDescent="0.25">
      <c r="D235" s="138"/>
      <c r="E235" s="138"/>
      <c r="L235" s="138"/>
      <c r="O235" s="138"/>
      <c r="R235" s="138"/>
      <c r="U235" s="138"/>
      <c r="X235" s="138"/>
    </row>
    <row r="236" spans="4:24" ht="12.75" customHeight="1" x14ac:dyDescent="0.25">
      <c r="D236" s="138"/>
      <c r="E236" s="138"/>
      <c r="L236" s="138"/>
      <c r="O236" s="138"/>
      <c r="R236" s="138"/>
      <c r="U236" s="138"/>
      <c r="X236" s="138"/>
    </row>
    <row r="237" spans="4:24" ht="12.75" customHeight="1" x14ac:dyDescent="0.25">
      <c r="D237" s="138"/>
      <c r="E237" s="138"/>
      <c r="L237" s="138"/>
      <c r="O237" s="138"/>
      <c r="R237" s="138"/>
      <c r="U237" s="138"/>
      <c r="X237" s="138"/>
    </row>
    <row r="238" spans="4:24" ht="12.75" customHeight="1" x14ac:dyDescent="0.25">
      <c r="D238" s="138"/>
      <c r="E238" s="138"/>
      <c r="L238" s="138"/>
      <c r="O238" s="138"/>
      <c r="R238" s="138"/>
      <c r="U238" s="138"/>
      <c r="X238" s="138"/>
    </row>
    <row r="239" spans="4:24" ht="12.75" customHeight="1" x14ac:dyDescent="0.25">
      <c r="D239" s="138"/>
      <c r="E239" s="138"/>
      <c r="L239" s="138"/>
      <c r="O239" s="138"/>
      <c r="R239" s="138"/>
      <c r="U239" s="138"/>
      <c r="X239" s="138"/>
    </row>
    <row r="240" spans="4:24" ht="12.75" customHeight="1" x14ac:dyDescent="0.25">
      <c r="D240" s="138"/>
      <c r="E240" s="138"/>
      <c r="L240" s="138"/>
      <c r="O240" s="138"/>
      <c r="R240" s="138"/>
      <c r="U240" s="138"/>
      <c r="X240" s="138"/>
    </row>
    <row r="241" spans="4:24" ht="12.75" customHeight="1" x14ac:dyDescent="0.25">
      <c r="D241" s="138"/>
      <c r="E241" s="138"/>
      <c r="L241" s="138"/>
      <c r="O241" s="138"/>
      <c r="R241" s="138"/>
      <c r="U241" s="138"/>
      <c r="X241" s="138"/>
    </row>
    <row r="242" spans="4:24" ht="12.75" customHeight="1" x14ac:dyDescent="0.25">
      <c r="D242" s="138"/>
      <c r="E242" s="138"/>
      <c r="L242" s="138"/>
      <c r="O242" s="138"/>
      <c r="R242" s="138"/>
      <c r="U242" s="138"/>
      <c r="X242" s="138"/>
    </row>
    <row r="243" spans="4:24" ht="12.75" customHeight="1" x14ac:dyDescent="0.25">
      <c r="D243" s="138"/>
      <c r="E243" s="138"/>
      <c r="L243" s="138"/>
      <c r="O243" s="138"/>
      <c r="R243" s="138"/>
      <c r="U243" s="138"/>
      <c r="X243" s="138"/>
    </row>
    <row r="244" spans="4:24" ht="12.75" customHeight="1" x14ac:dyDescent="0.25">
      <c r="D244" s="138"/>
      <c r="E244" s="138"/>
      <c r="L244" s="138"/>
      <c r="O244" s="138"/>
      <c r="R244" s="138"/>
      <c r="U244" s="138"/>
      <c r="X244" s="138"/>
    </row>
    <row r="245" spans="4:24" ht="12.75" customHeight="1" x14ac:dyDescent="0.25">
      <c r="D245" s="138"/>
      <c r="E245" s="138"/>
      <c r="L245" s="138"/>
      <c r="O245" s="138"/>
      <c r="R245" s="138"/>
      <c r="U245" s="138"/>
      <c r="X245" s="138"/>
    </row>
    <row r="246" spans="4:24" ht="12.75" customHeight="1" x14ac:dyDescent="0.25">
      <c r="D246" s="138"/>
      <c r="E246" s="138"/>
      <c r="L246" s="138"/>
      <c r="O246" s="138"/>
      <c r="R246" s="138"/>
      <c r="U246" s="138"/>
      <c r="X246" s="138"/>
    </row>
    <row r="247" spans="4:24" ht="12.75" customHeight="1" x14ac:dyDescent="0.25">
      <c r="D247" s="138"/>
      <c r="E247" s="138"/>
      <c r="L247" s="138"/>
      <c r="O247" s="138"/>
      <c r="R247" s="138"/>
      <c r="U247" s="138"/>
      <c r="X247" s="138"/>
    </row>
    <row r="248" spans="4:24" ht="12.75" customHeight="1" x14ac:dyDescent="0.25">
      <c r="D248" s="138"/>
      <c r="E248" s="138"/>
      <c r="L248" s="138"/>
      <c r="O248" s="138"/>
      <c r="R248" s="138"/>
      <c r="U248" s="138"/>
      <c r="X248" s="138"/>
    </row>
    <row r="249" spans="4:24" ht="12.75" customHeight="1" x14ac:dyDescent="0.25">
      <c r="D249" s="138"/>
      <c r="E249" s="138"/>
      <c r="L249" s="138"/>
      <c r="O249" s="138"/>
      <c r="R249" s="138"/>
      <c r="U249" s="138"/>
      <c r="X249" s="138"/>
    </row>
    <row r="250" spans="4:24" ht="12.75" customHeight="1" x14ac:dyDescent="0.25">
      <c r="D250" s="138"/>
      <c r="E250" s="138"/>
      <c r="L250" s="138"/>
      <c r="O250" s="138"/>
      <c r="R250" s="138"/>
      <c r="U250" s="138"/>
      <c r="X250" s="138"/>
    </row>
    <row r="251" spans="4:24" ht="12.75" customHeight="1" x14ac:dyDescent="0.25">
      <c r="D251" s="138"/>
      <c r="E251" s="138"/>
      <c r="L251" s="138"/>
      <c r="O251" s="138"/>
      <c r="R251" s="138"/>
      <c r="U251" s="138"/>
      <c r="X251" s="138"/>
    </row>
    <row r="252" spans="4:24" ht="12.75" customHeight="1" x14ac:dyDescent="0.25">
      <c r="D252" s="138"/>
      <c r="E252" s="138"/>
      <c r="L252" s="138"/>
      <c r="O252" s="138"/>
      <c r="R252" s="138"/>
      <c r="U252" s="138"/>
      <c r="X252" s="138"/>
    </row>
    <row r="253" spans="4:24" ht="12.75" customHeight="1" x14ac:dyDescent="0.25">
      <c r="D253" s="138"/>
      <c r="E253" s="138"/>
      <c r="L253" s="138"/>
      <c r="O253" s="138"/>
      <c r="R253" s="138"/>
      <c r="U253" s="138"/>
      <c r="X253" s="138"/>
    </row>
    <row r="254" spans="4:24" ht="12.75" customHeight="1" x14ac:dyDescent="0.25">
      <c r="D254" s="138"/>
      <c r="E254" s="138"/>
      <c r="L254" s="138"/>
      <c r="O254" s="138"/>
      <c r="R254" s="138"/>
      <c r="U254" s="138"/>
      <c r="X254" s="138"/>
    </row>
    <row r="255" spans="4:24" ht="12.75" customHeight="1" x14ac:dyDescent="0.25">
      <c r="D255" s="138"/>
      <c r="E255" s="138"/>
      <c r="L255" s="138"/>
      <c r="O255" s="138"/>
      <c r="R255" s="138"/>
      <c r="U255" s="138"/>
      <c r="X255" s="138"/>
    </row>
    <row r="256" spans="4:24" ht="12.75" customHeight="1" x14ac:dyDescent="0.25">
      <c r="D256" s="138"/>
      <c r="E256" s="138"/>
      <c r="L256" s="138"/>
      <c r="O256" s="138"/>
      <c r="R256" s="138"/>
      <c r="U256" s="138"/>
      <c r="X256" s="138"/>
    </row>
    <row r="257" spans="4:24" ht="12.75" customHeight="1" x14ac:dyDescent="0.25">
      <c r="D257" s="138"/>
      <c r="E257" s="138"/>
      <c r="L257" s="138"/>
      <c r="O257" s="138"/>
      <c r="R257" s="138"/>
      <c r="U257" s="138"/>
      <c r="X257" s="138"/>
    </row>
    <row r="258" spans="4:24" ht="12.75" customHeight="1" x14ac:dyDescent="0.25">
      <c r="D258" s="138"/>
      <c r="E258" s="138"/>
      <c r="L258" s="138"/>
      <c r="O258" s="138"/>
      <c r="R258" s="138"/>
      <c r="U258" s="138"/>
      <c r="X258" s="138"/>
    </row>
    <row r="259" spans="4:24" ht="12.75" customHeight="1" x14ac:dyDescent="0.25">
      <c r="D259" s="138"/>
      <c r="E259" s="138"/>
      <c r="L259" s="138"/>
      <c r="O259" s="138"/>
      <c r="R259" s="138"/>
      <c r="U259" s="138"/>
      <c r="X259" s="138"/>
    </row>
    <row r="260" spans="4:24" ht="12.75" customHeight="1" x14ac:dyDescent="0.25">
      <c r="D260" s="138"/>
      <c r="E260" s="138"/>
      <c r="L260" s="138"/>
      <c r="O260" s="138"/>
      <c r="R260" s="138"/>
      <c r="U260" s="138"/>
      <c r="X260" s="138"/>
    </row>
    <row r="261" spans="4:24" ht="12.75" customHeight="1" x14ac:dyDescent="0.25">
      <c r="D261" s="138"/>
      <c r="E261" s="138"/>
      <c r="L261" s="138"/>
      <c r="O261" s="138"/>
      <c r="R261" s="138"/>
      <c r="U261" s="138"/>
      <c r="X261" s="138"/>
    </row>
    <row r="262" spans="4:24" ht="12.75" customHeight="1" x14ac:dyDescent="0.25">
      <c r="D262" s="138"/>
      <c r="E262" s="138"/>
      <c r="L262" s="138"/>
      <c r="O262" s="138"/>
      <c r="R262" s="138"/>
      <c r="U262" s="138"/>
      <c r="X262" s="138"/>
    </row>
    <row r="263" spans="4:24" ht="12.75" customHeight="1" x14ac:dyDescent="0.25">
      <c r="D263" s="138"/>
      <c r="E263" s="138"/>
      <c r="L263" s="138"/>
      <c r="O263" s="138"/>
      <c r="R263" s="138"/>
      <c r="U263" s="138"/>
      <c r="X263" s="138"/>
    </row>
    <row r="264" spans="4:24" ht="12.75" customHeight="1" x14ac:dyDescent="0.25">
      <c r="D264" s="138"/>
      <c r="E264" s="138"/>
      <c r="L264" s="138"/>
      <c r="O264" s="138"/>
      <c r="R264" s="138"/>
      <c r="U264" s="138"/>
      <c r="X264" s="138"/>
    </row>
    <row r="265" spans="4:24" ht="12.75" customHeight="1" x14ac:dyDescent="0.25">
      <c r="D265" s="138"/>
      <c r="E265" s="138"/>
      <c r="L265" s="138"/>
      <c r="O265" s="138"/>
      <c r="R265" s="138"/>
      <c r="U265" s="138"/>
      <c r="X265" s="138"/>
    </row>
    <row r="266" spans="4:24" ht="12.75" customHeight="1" x14ac:dyDescent="0.25">
      <c r="D266" s="138"/>
      <c r="E266" s="138"/>
      <c r="L266" s="138"/>
      <c r="O266" s="138"/>
      <c r="R266" s="138"/>
      <c r="U266" s="138"/>
      <c r="X266" s="138"/>
    </row>
    <row r="267" spans="4:24" ht="12.75" customHeight="1" x14ac:dyDescent="0.25">
      <c r="D267" s="138"/>
      <c r="E267" s="138"/>
      <c r="L267" s="138"/>
      <c r="O267" s="138"/>
      <c r="R267" s="138"/>
      <c r="U267" s="138"/>
      <c r="X267" s="138"/>
    </row>
    <row r="268" spans="4:24" ht="12.75" customHeight="1" x14ac:dyDescent="0.25">
      <c r="D268" s="138"/>
      <c r="E268" s="138"/>
      <c r="L268" s="138"/>
      <c r="O268" s="138"/>
      <c r="R268" s="138"/>
      <c r="U268" s="138"/>
      <c r="X268" s="138"/>
    </row>
    <row r="269" spans="4:24" ht="12.75" customHeight="1" x14ac:dyDescent="0.25">
      <c r="D269" s="138"/>
      <c r="E269" s="138"/>
      <c r="L269" s="138"/>
      <c r="O269" s="138"/>
      <c r="R269" s="138"/>
      <c r="U269" s="138"/>
      <c r="X269" s="138"/>
    </row>
    <row r="270" spans="4:24" ht="12.75" customHeight="1" x14ac:dyDescent="0.25">
      <c r="D270" s="138"/>
      <c r="E270" s="138"/>
      <c r="L270" s="138"/>
      <c r="O270" s="138"/>
      <c r="R270" s="138"/>
      <c r="U270" s="138"/>
      <c r="X270" s="138"/>
    </row>
    <row r="271" spans="4:24" ht="12.75" customHeight="1" x14ac:dyDescent="0.25">
      <c r="D271" s="138"/>
      <c r="E271" s="138"/>
      <c r="L271" s="138"/>
      <c r="O271" s="138"/>
      <c r="R271" s="138"/>
      <c r="U271" s="138"/>
      <c r="X271" s="138"/>
    </row>
    <row r="272" spans="4:24" ht="12.75" customHeight="1" x14ac:dyDescent="0.25">
      <c r="D272" s="138"/>
      <c r="E272" s="138"/>
      <c r="L272" s="138"/>
      <c r="O272" s="138"/>
      <c r="R272" s="138"/>
      <c r="U272" s="138"/>
      <c r="X272" s="138"/>
    </row>
    <row r="273" spans="4:24" ht="12.75" customHeight="1" x14ac:dyDescent="0.25">
      <c r="D273" s="138"/>
      <c r="E273" s="138"/>
      <c r="L273" s="138"/>
      <c r="O273" s="138"/>
      <c r="R273" s="138"/>
      <c r="U273" s="138"/>
      <c r="X273" s="138"/>
    </row>
    <row r="274" spans="4:24" ht="12.75" customHeight="1" x14ac:dyDescent="0.25">
      <c r="D274" s="138"/>
      <c r="E274" s="138"/>
      <c r="L274" s="138"/>
      <c r="O274" s="138"/>
      <c r="R274" s="138"/>
      <c r="U274" s="138"/>
      <c r="X274" s="138"/>
    </row>
    <row r="275" spans="4:24" ht="12.75" customHeight="1" x14ac:dyDescent="0.25">
      <c r="D275" s="138"/>
      <c r="E275" s="138"/>
      <c r="L275" s="138"/>
      <c r="O275" s="138"/>
      <c r="R275" s="138"/>
      <c r="U275" s="138"/>
      <c r="X275" s="138"/>
    </row>
    <row r="276" spans="4:24" ht="12.75" customHeight="1" x14ac:dyDescent="0.25">
      <c r="D276" s="138"/>
      <c r="E276" s="138"/>
      <c r="L276" s="138"/>
      <c r="O276" s="138"/>
      <c r="R276" s="138"/>
      <c r="U276" s="138"/>
      <c r="X276" s="138"/>
    </row>
    <row r="277" spans="4:24" ht="12.75" customHeight="1" x14ac:dyDescent="0.25">
      <c r="D277" s="138"/>
      <c r="E277" s="138"/>
      <c r="L277" s="138"/>
      <c r="O277" s="138"/>
      <c r="R277" s="138"/>
      <c r="U277" s="138"/>
      <c r="X277" s="138"/>
    </row>
    <row r="278" spans="4:24" ht="12.75" customHeight="1" x14ac:dyDescent="0.25">
      <c r="D278" s="138"/>
      <c r="E278" s="138"/>
      <c r="L278" s="138"/>
      <c r="O278" s="138"/>
      <c r="R278" s="138"/>
      <c r="U278" s="138"/>
      <c r="X278" s="138"/>
    </row>
    <row r="279" spans="4:24" ht="12.75" customHeight="1" x14ac:dyDescent="0.25">
      <c r="D279" s="138"/>
      <c r="E279" s="138"/>
      <c r="L279" s="138"/>
      <c r="O279" s="138"/>
      <c r="R279" s="138"/>
      <c r="U279" s="138"/>
      <c r="X279" s="138"/>
    </row>
    <row r="280" spans="4:24" ht="12.75" customHeight="1" x14ac:dyDescent="0.25">
      <c r="D280" s="138"/>
      <c r="E280" s="138"/>
      <c r="L280" s="138"/>
      <c r="O280" s="138"/>
      <c r="R280" s="138"/>
      <c r="U280" s="138"/>
      <c r="X280" s="138"/>
    </row>
    <row r="281" spans="4:24" ht="12.75" customHeight="1" x14ac:dyDescent="0.25">
      <c r="D281" s="138"/>
      <c r="E281" s="138"/>
      <c r="L281" s="138"/>
      <c r="O281" s="138"/>
      <c r="R281" s="138"/>
      <c r="U281" s="138"/>
      <c r="X281" s="138"/>
    </row>
    <row r="282" spans="4:24" ht="12.75" customHeight="1" x14ac:dyDescent="0.25">
      <c r="D282" s="138"/>
      <c r="E282" s="138"/>
      <c r="L282" s="138"/>
      <c r="O282" s="138"/>
      <c r="R282" s="138"/>
      <c r="U282" s="138"/>
      <c r="X282" s="138"/>
    </row>
    <row r="283" spans="4:24" ht="12.75" customHeight="1" x14ac:dyDescent="0.25">
      <c r="D283" s="138"/>
      <c r="E283" s="138"/>
      <c r="L283" s="138"/>
      <c r="O283" s="138"/>
      <c r="R283" s="138"/>
      <c r="U283" s="138"/>
      <c r="X283" s="138"/>
    </row>
    <row r="284" spans="4:24" ht="12.75" customHeight="1" x14ac:dyDescent="0.25">
      <c r="D284" s="138"/>
      <c r="E284" s="138"/>
      <c r="L284" s="138"/>
      <c r="O284" s="138"/>
      <c r="R284" s="138"/>
      <c r="U284" s="138"/>
      <c r="X284" s="138"/>
    </row>
    <row r="285" spans="4:24" ht="12.75" customHeight="1" x14ac:dyDescent="0.25">
      <c r="D285" s="138"/>
      <c r="E285" s="138"/>
      <c r="L285" s="138"/>
      <c r="O285" s="138"/>
      <c r="R285" s="138"/>
      <c r="U285" s="138"/>
      <c r="X285" s="138"/>
    </row>
    <row r="286" spans="4:24" ht="12.75" customHeight="1" x14ac:dyDescent="0.25">
      <c r="D286" s="138"/>
      <c r="E286" s="138"/>
      <c r="L286" s="138"/>
      <c r="O286" s="138"/>
      <c r="R286" s="138"/>
      <c r="U286" s="138"/>
      <c r="X286" s="138"/>
    </row>
    <row r="287" spans="4:24" ht="12.75" customHeight="1" x14ac:dyDescent="0.25">
      <c r="D287" s="138"/>
      <c r="E287" s="138"/>
      <c r="L287" s="138"/>
      <c r="O287" s="138"/>
      <c r="R287" s="138"/>
      <c r="U287" s="138"/>
      <c r="X287" s="138"/>
    </row>
    <row r="288" spans="4:24" ht="12.75" customHeight="1" x14ac:dyDescent="0.25">
      <c r="D288" s="138"/>
      <c r="E288" s="138"/>
      <c r="L288" s="138"/>
      <c r="O288" s="138"/>
      <c r="R288" s="138"/>
      <c r="U288" s="138"/>
      <c r="X288" s="138"/>
    </row>
    <row r="289" spans="4:24" ht="12.75" customHeight="1" x14ac:dyDescent="0.25">
      <c r="D289" s="138"/>
      <c r="E289" s="138"/>
      <c r="L289" s="138"/>
      <c r="O289" s="138"/>
      <c r="R289" s="138"/>
      <c r="U289" s="138"/>
      <c r="X289" s="138"/>
    </row>
    <row r="290" spans="4:24" ht="12.75" customHeight="1" x14ac:dyDescent="0.25">
      <c r="D290" s="138"/>
      <c r="E290" s="138"/>
      <c r="L290" s="138"/>
      <c r="O290" s="138"/>
      <c r="R290" s="138"/>
      <c r="U290" s="138"/>
      <c r="X290" s="138"/>
    </row>
    <row r="291" spans="4:24" ht="12.75" customHeight="1" x14ac:dyDescent="0.25">
      <c r="D291" s="138"/>
      <c r="E291" s="138"/>
      <c r="L291" s="138"/>
      <c r="O291" s="138"/>
      <c r="R291" s="138"/>
      <c r="U291" s="138"/>
      <c r="X291" s="138"/>
    </row>
    <row r="292" spans="4:24" ht="12.75" customHeight="1" x14ac:dyDescent="0.25">
      <c r="D292" s="138"/>
      <c r="E292" s="138"/>
      <c r="L292" s="138"/>
      <c r="O292" s="138"/>
      <c r="R292" s="138"/>
      <c r="U292" s="138"/>
      <c r="X292" s="138"/>
    </row>
    <row r="293" spans="4:24" ht="12.75" customHeight="1" x14ac:dyDescent="0.25">
      <c r="D293" s="138"/>
      <c r="E293" s="138"/>
      <c r="L293" s="138"/>
      <c r="O293" s="138"/>
      <c r="R293" s="138"/>
      <c r="U293" s="138"/>
      <c r="X293" s="138"/>
    </row>
    <row r="294" spans="4:24" ht="12.75" customHeight="1" x14ac:dyDescent="0.25">
      <c r="D294" s="138"/>
      <c r="E294" s="138"/>
      <c r="L294" s="138"/>
      <c r="O294" s="138"/>
      <c r="R294" s="138"/>
      <c r="U294" s="138"/>
      <c r="X294" s="138"/>
    </row>
    <row r="295" spans="4:24" ht="12.75" customHeight="1" x14ac:dyDescent="0.25">
      <c r="D295" s="138"/>
      <c r="E295" s="138"/>
      <c r="L295" s="138"/>
      <c r="O295" s="138"/>
      <c r="R295" s="138"/>
      <c r="U295" s="138"/>
      <c r="X295" s="138"/>
    </row>
    <row r="296" spans="4:24" ht="12.75" customHeight="1" x14ac:dyDescent="0.25">
      <c r="D296" s="138"/>
      <c r="E296" s="138"/>
      <c r="L296" s="138"/>
      <c r="O296" s="138"/>
      <c r="R296" s="138"/>
      <c r="U296" s="138"/>
      <c r="X296" s="138"/>
    </row>
    <row r="297" spans="4:24" ht="12.75" customHeight="1" x14ac:dyDescent="0.25">
      <c r="D297" s="138"/>
      <c r="E297" s="138"/>
      <c r="L297" s="138"/>
      <c r="O297" s="138"/>
      <c r="R297" s="138"/>
      <c r="U297" s="138"/>
      <c r="X297" s="138"/>
    </row>
    <row r="298" spans="4:24" ht="12.75" customHeight="1" x14ac:dyDescent="0.25">
      <c r="D298" s="138"/>
      <c r="E298" s="138"/>
      <c r="L298" s="138"/>
      <c r="O298" s="138"/>
      <c r="R298" s="138"/>
      <c r="U298" s="138"/>
      <c r="X298" s="138"/>
    </row>
    <row r="299" spans="4:24" ht="12.75" customHeight="1" x14ac:dyDescent="0.25">
      <c r="D299" s="138"/>
      <c r="E299" s="138"/>
      <c r="L299" s="138"/>
      <c r="O299" s="138"/>
      <c r="R299" s="138"/>
      <c r="U299" s="138"/>
      <c r="X299" s="138"/>
    </row>
    <row r="300" spans="4:24" ht="12.75" customHeight="1" x14ac:dyDescent="0.25">
      <c r="D300" s="138"/>
      <c r="E300" s="138"/>
      <c r="L300" s="138"/>
      <c r="O300" s="138"/>
      <c r="R300" s="138"/>
      <c r="U300" s="138"/>
      <c r="X300" s="138"/>
    </row>
    <row r="301" spans="4:24" ht="12.75" customHeight="1" x14ac:dyDescent="0.25">
      <c r="D301" s="138"/>
      <c r="E301" s="138"/>
      <c r="L301" s="138"/>
      <c r="O301" s="138"/>
      <c r="R301" s="138"/>
      <c r="U301" s="138"/>
      <c r="X301" s="138"/>
    </row>
    <row r="302" spans="4:24" ht="12.75" customHeight="1" x14ac:dyDescent="0.25">
      <c r="D302" s="138"/>
      <c r="E302" s="138"/>
      <c r="L302" s="138"/>
      <c r="O302" s="138"/>
      <c r="R302" s="138"/>
      <c r="U302" s="138"/>
      <c r="X302" s="138"/>
    </row>
    <row r="303" spans="4:24" ht="12.75" customHeight="1" x14ac:dyDescent="0.25">
      <c r="D303" s="138"/>
      <c r="E303" s="138"/>
      <c r="L303" s="138"/>
      <c r="O303" s="138"/>
      <c r="R303" s="138"/>
      <c r="U303" s="138"/>
      <c r="X303" s="138"/>
    </row>
    <row r="304" spans="4:24" ht="12.75" customHeight="1" x14ac:dyDescent="0.25">
      <c r="D304" s="138"/>
      <c r="E304" s="138"/>
      <c r="L304" s="138"/>
      <c r="O304" s="138"/>
      <c r="R304" s="138"/>
      <c r="U304" s="138"/>
      <c r="X304" s="138"/>
    </row>
    <row r="305" spans="4:24" ht="12.75" customHeight="1" x14ac:dyDescent="0.25">
      <c r="D305" s="138"/>
      <c r="E305" s="138"/>
      <c r="L305" s="138"/>
      <c r="O305" s="138"/>
      <c r="R305" s="138"/>
      <c r="U305" s="138"/>
      <c r="X305" s="138"/>
    </row>
    <row r="306" spans="4:24" ht="12.75" customHeight="1" x14ac:dyDescent="0.25">
      <c r="D306" s="138"/>
      <c r="E306" s="138"/>
      <c r="L306" s="138"/>
      <c r="O306" s="138"/>
      <c r="R306" s="138"/>
      <c r="U306" s="138"/>
      <c r="X306" s="138"/>
    </row>
    <row r="307" spans="4:24" ht="12.75" customHeight="1" x14ac:dyDescent="0.25">
      <c r="D307" s="138"/>
      <c r="E307" s="138"/>
      <c r="L307" s="138"/>
      <c r="O307" s="138"/>
      <c r="R307" s="138"/>
      <c r="U307" s="138"/>
      <c r="X307" s="138"/>
    </row>
    <row r="308" spans="4:24" ht="12.75" customHeight="1" x14ac:dyDescent="0.25">
      <c r="D308" s="138"/>
      <c r="E308" s="138"/>
      <c r="L308" s="138"/>
      <c r="O308" s="138"/>
      <c r="R308" s="138"/>
      <c r="U308" s="138"/>
      <c r="X308" s="138"/>
    </row>
    <row r="309" spans="4:24" ht="12.75" customHeight="1" x14ac:dyDescent="0.25">
      <c r="D309" s="138"/>
      <c r="E309" s="138"/>
      <c r="L309" s="138"/>
      <c r="O309" s="138"/>
      <c r="R309" s="138"/>
      <c r="U309" s="138"/>
      <c r="X309" s="138"/>
    </row>
    <row r="310" spans="4:24" ht="12.75" customHeight="1" x14ac:dyDescent="0.25">
      <c r="D310" s="138"/>
      <c r="E310" s="138"/>
      <c r="L310" s="138"/>
      <c r="O310" s="138"/>
      <c r="R310" s="138"/>
      <c r="U310" s="138"/>
      <c r="X310" s="138"/>
    </row>
    <row r="311" spans="4:24" ht="12.75" customHeight="1" x14ac:dyDescent="0.25">
      <c r="D311" s="138"/>
      <c r="E311" s="138"/>
      <c r="L311" s="138"/>
      <c r="O311" s="138"/>
      <c r="R311" s="138"/>
      <c r="U311" s="138"/>
      <c r="X311" s="138"/>
    </row>
    <row r="312" spans="4:24" ht="12.75" customHeight="1" x14ac:dyDescent="0.25">
      <c r="D312" s="138"/>
      <c r="E312" s="138"/>
      <c r="L312" s="138"/>
      <c r="O312" s="138"/>
      <c r="R312" s="138"/>
      <c r="U312" s="138"/>
      <c r="X312" s="138"/>
    </row>
    <row r="313" spans="4:24" ht="12.75" customHeight="1" x14ac:dyDescent="0.25">
      <c r="D313" s="138"/>
      <c r="E313" s="138"/>
      <c r="L313" s="138"/>
      <c r="O313" s="138"/>
      <c r="R313" s="138"/>
      <c r="U313" s="138"/>
      <c r="X313" s="138"/>
    </row>
    <row r="314" spans="4:24" ht="12.75" customHeight="1" x14ac:dyDescent="0.25">
      <c r="D314" s="138"/>
      <c r="E314" s="138"/>
      <c r="L314" s="138"/>
      <c r="O314" s="138"/>
      <c r="R314" s="138"/>
      <c r="U314" s="138"/>
      <c r="X314" s="138"/>
    </row>
    <row r="315" spans="4:24" ht="12.75" customHeight="1" x14ac:dyDescent="0.25">
      <c r="D315" s="138"/>
      <c r="E315" s="138"/>
      <c r="L315" s="138"/>
      <c r="O315" s="138"/>
      <c r="R315" s="138"/>
      <c r="U315" s="138"/>
      <c r="X315" s="138"/>
    </row>
    <row r="316" spans="4:24" ht="12.75" customHeight="1" x14ac:dyDescent="0.25">
      <c r="D316" s="138"/>
      <c r="E316" s="138"/>
      <c r="L316" s="138"/>
      <c r="O316" s="138"/>
      <c r="R316" s="138"/>
      <c r="U316" s="138"/>
      <c r="X316" s="138"/>
    </row>
    <row r="317" spans="4:24" ht="12.75" customHeight="1" x14ac:dyDescent="0.25">
      <c r="D317" s="138"/>
      <c r="E317" s="138"/>
      <c r="L317" s="138"/>
      <c r="O317" s="138"/>
      <c r="R317" s="138"/>
      <c r="U317" s="138"/>
      <c r="X317" s="138"/>
    </row>
    <row r="318" spans="4:24" ht="12.75" customHeight="1" x14ac:dyDescent="0.25">
      <c r="D318" s="138"/>
      <c r="E318" s="138"/>
      <c r="L318" s="138"/>
      <c r="O318" s="138"/>
      <c r="R318" s="138"/>
      <c r="U318" s="138"/>
      <c r="X318" s="138"/>
    </row>
    <row r="319" spans="4:24" ht="12.75" customHeight="1" x14ac:dyDescent="0.25">
      <c r="D319" s="138"/>
      <c r="E319" s="138"/>
      <c r="L319" s="138"/>
      <c r="O319" s="138"/>
      <c r="R319" s="138"/>
      <c r="U319" s="138"/>
      <c r="X319" s="138"/>
    </row>
    <row r="320" spans="4:24" ht="12.75" customHeight="1" x14ac:dyDescent="0.25">
      <c r="D320" s="138"/>
      <c r="E320" s="138"/>
      <c r="L320" s="138"/>
      <c r="O320" s="138"/>
      <c r="R320" s="138"/>
      <c r="U320" s="138"/>
      <c r="X320" s="138"/>
    </row>
    <row r="321" spans="4:24" ht="12.75" customHeight="1" x14ac:dyDescent="0.25">
      <c r="D321" s="138"/>
      <c r="E321" s="138"/>
      <c r="L321" s="138"/>
      <c r="O321" s="138"/>
      <c r="R321" s="138"/>
      <c r="U321" s="138"/>
      <c r="X321" s="138"/>
    </row>
    <row r="322" spans="4:24" ht="12.75" customHeight="1" x14ac:dyDescent="0.25">
      <c r="D322" s="138"/>
      <c r="E322" s="138"/>
      <c r="L322" s="138"/>
      <c r="O322" s="138"/>
      <c r="R322" s="138"/>
      <c r="U322" s="138"/>
      <c r="X322" s="138"/>
    </row>
    <row r="323" spans="4:24" ht="12.75" customHeight="1" x14ac:dyDescent="0.25">
      <c r="D323" s="138"/>
      <c r="E323" s="138"/>
      <c r="L323" s="138"/>
      <c r="O323" s="138"/>
      <c r="R323" s="138"/>
      <c r="U323" s="138"/>
      <c r="X323" s="138"/>
    </row>
    <row r="324" spans="4:24" ht="12.75" customHeight="1" x14ac:dyDescent="0.25">
      <c r="D324" s="138"/>
      <c r="E324" s="138"/>
      <c r="L324" s="138"/>
      <c r="O324" s="138"/>
      <c r="R324" s="138"/>
      <c r="U324" s="138"/>
      <c r="X324" s="138"/>
    </row>
    <row r="325" spans="4:24" ht="12.75" customHeight="1" x14ac:dyDescent="0.25">
      <c r="D325" s="138"/>
      <c r="E325" s="138"/>
      <c r="L325" s="138"/>
      <c r="O325" s="138"/>
      <c r="R325" s="138"/>
      <c r="U325" s="138"/>
      <c r="X325" s="138"/>
    </row>
    <row r="326" spans="4:24" ht="12.75" customHeight="1" x14ac:dyDescent="0.25">
      <c r="D326" s="138"/>
      <c r="E326" s="138"/>
      <c r="L326" s="138"/>
      <c r="O326" s="138"/>
      <c r="R326" s="138"/>
      <c r="U326" s="138"/>
      <c r="X326" s="138"/>
    </row>
    <row r="327" spans="4:24" ht="12.75" customHeight="1" x14ac:dyDescent="0.25">
      <c r="D327" s="138"/>
      <c r="E327" s="138"/>
      <c r="L327" s="138"/>
      <c r="O327" s="138"/>
      <c r="R327" s="138"/>
      <c r="U327" s="138"/>
      <c r="X327" s="138"/>
    </row>
    <row r="328" spans="4:24" ht="12.75" customHeight="1" x14ac:dyDescent="0.25">
      <c r="D328" s="138"/>
      <c r="E328" s="138"/>
      <c r="L328" s="138"/>
      <c r="O328" s="138"/>
      <c r="R328" s="138"/>
      <c r="U328" s="138"/>
      <c r="X328" s="138"/>
    </row>
    <row r="329" spans="4:24" ht="12.75" customHeight="1" x14ac:dyDescent="0.25">
      <c r="D329" s="138"/>
      <c r="E329" s="138"/>
      <c r="L329" s="138"/>
      <c r="O329" s="138"/>
      <c r="R329" s="138"/>
      <c r="U329" s="138"/>
      <c r="X329" s="138"/>
    </row>
    <row r="330" spans="4:24" ht="12.75" customHeight="1" x14ac:dyDescent="0.25">
      <c r="D330" s="138"/>
      <c r="E330" s="138"/>
      <c r="L330" s="138"/>
      <c r="O330" s="138"/>
      <c r="R330" s="138"/>
      <c r="U330" s="138"/>
      <c r="X330" s="138"/>
    </row>
    <row r="331" spans="4:24" ht="12.75" customHeight="1" x14ac:dyDescent="0.25">
      <c r="D331" s="138"/>
      <c r="E331" s="138"/>
      <c r="L331" s="138"/>
      <c r="O331" s="138"/>
      <c r="R331" s="138"/>
      <c r="U331" s="138"/>
      <c r="X331" s="138"/>
    </row>
    <row r="332" spans="4:24" ht="12.75" customHeight="1" x14ac:dyDescent="0.25">
      <c r="D332" s="138"/>
      <c r="E332" s="138"/>
      <c r="L332" s="138"/>
      <c r="O332" s="138"/>
      <c r="R332" s="138"/>
      <c r="U332" s="138"/>
      <c r="X332" s="138"/>
    </row>
    <row r="333" spans="4:24" ht="12.75" customHeight="1" x14ac:dyDescent="0.25">
      <c r="D333" s="138"/>
      <c r="E333" s="138"/>
      <c r="L333" s="138"/>
      <c r="O333" s="138"/>
      <c r="R333" s="138"/>
      <c r="U333" s="138"/>
      <c r="X333" s="138"/>
    </row>
    <row r="334" spans="4:24" ht="12.75" customHeight="1" x14ac:dyDescent="0.25">
      <c r="D334" s="138"/>
      <c r="E334" s="138"/>
      <c r="L334" s="138"/>
      <c r="O334" s="138"/>
      <c r="R334" s="138"/>
      <c r="U334" s="138"/>
      <c r="X334" s="138"/>
    </row>
    <row r="335" spans="4:24" ht="12.75" customHeight="1" x14ac:dyDescent="0.25">
      <c r="D335" s="138"/>
      <c r="E335" s="138"/>
      <c r="L335" s="138"/>
      <c r="O335" s="138"/>
      <c r="R335" s="138"/>
      <c r="U335" s="138"/>
      <c r="X335" s="138"/>
    </row>
    <row r="336" spans="4:24" ht="12.75" customHeight="1" x14ac:dyDescent="0.25">
      <c r="D336" s="138"/>
      <c r="E336" s="138"/>
      <c r="L336" s="138"/>
      <c r="O336" s="138"/>
      <c r="R336" s="138"/>
      <c r="U336" s="138"/>
      <c r="X336" s="138"/>
    </row>
    <row r="337" spans="4:24" ht="12.75" customHeight="1" x14ac:dyDescent="0.25">
      <c r="D337" s="138"/>
      <c r="E337" s="138"/>
      <c r="L337" s="138"/>
      <c r="O337" s="138"/>
      <c r="R337" s="138"/>
      <c r="U337" s="138"/>
      <c r="X337" s="138"/>
    </row>
    <row r="338" spans="4:24" ht="12.75" customHeight="1" x14ac:dyDescent="0.25">
      <c r="D338" s="138"/>
      <c r="E338" s="138"/>
      <c r="L338" s="138"/>
      <c r="O338" s="138"/>
      <c r="R338" s="138"/>
      <c r="U338" s="138"/>
      <c r="X338" s="138"/>
    </row>
    <row r="339" spans="4:24" ht="12.75" customHeight="1" x14ac:dyDescent="0.25">
      <c r="D339" s="138"/>
      <c r="E339" s="138"/>
      <c r="L339" s="138"/>
      <c r="O339" s="138"/>
      <c r="R339" s="138"/>
      <c r="U339" s="138"/>
      <c r="X339" s="138"/>
    </row>
    <row r="340" spans="4:24" ht="12.75" customHeight="1" x14ac:dyDescent="0.25">
      <c r="D340" s="138"/>
      <c r="E340" s="138"/>
      <c r="L340" s="138"/>
      <c r="O340" s="138"/>
      <c r="R340" s="138"/>
      <c r="U340" s="138"/>
      <c r="X340" s="138"/>
    </row>
    <row r="341" spans="4:24" ht="12.75" customHeight="1" x14ac:dyDescent="0.25">
      <c r="D341" s="138"/>
      <c r="E341" s="138"/>
      <c r="L341" s="138"/>
      <c r="O341" s="138"/>
      <c r="R341" s="138"/>
      <c r="U341" s="138"/>
      <c r="X341" s="138"/>
    </row>
    <row r="342" spans="4:24" ht="12.75" customHeight="1" x14ac:dyDescent="0.25">
      <c r="D342" s="138"/>
      <c r="E342" s="138"/>
      <c r="L342" s="138"/>
      <c r="O342" s="138"/>
      <c r="R342" s="138"/>
      <c r="U342" s="138"/>
      <c r="X342" s="138"/>
    </row>
    <row r="343" spans="4:24" ht="12.75" customHeight="1" x14ac:dyDescent="0.25">
      <c r="D343" s="138"/>
      <c r="E343" s="138"/>
      <c r="L343" s="138"/>
      <c r="O343" s="138"/>
      <c r="R343" s="138"/>
      <c r="U343" s="138"/>
      <c r="X343" s="138"/>
    </row>
    <row r="344" spans="4:24" ht="12.75" customHeight="1" x14ac:dyDescent="0.25">
      <c r="D344" s="138"/>
      <c r="E344" s="138"/>
      <c r="L344" s="138"/>
      <c r="O344" s="138"/>
      <c r="R344" s="138"/>
      <c r="U344" s="138"/>
      <c r="X344" s="138"/>
    </row>
    <row r="345" spans="4:24" ht="12.75" customHeight="1" x14ac:dyDescent="0.25">
      <c r="D345" s="138"/>
      <c r="E345" s="138"/>
      <c r="L345" s="138"/>
      <c r="O345" s="138"/>
      <c r="R345" s="138"/>
      <c r="U345" s="138"/>
      <c r="X345" s="138"/>
    </row>
    <row r="346" spans="4:24" ht="12.75" customHeight="1" x14ac:dyDescent="0.25">
      <c r="D346" s="138"/>
      <c r="E346" s="138"/>
      <c r="L346" s="138"/>
      <c r="O346" s="138"/>
      <c r="R346" s="138"/>
      <c r="U346" s="138"/>
      <c r="X346" s="138"/>
    </row>
    <row r="347" spans="4:24" ht="12.75" customHeight="1" x14ac:dyDescent="0.25">
      <c r="D347" s="138"/>
      <c r="E347" s="138"/>
      <c r="L347" s="138"/>
      <c r="O347" s="138"/>
      <c r="R347" s="138"/>
      <c r="U347" s="138"/>
      <c r="X347" s="138"/>
    </row>
    <row r="348" spans="4:24" ht="12.75" customHeight="1" x14ac:dyDescent="0.25">
      <c r="D348" s="138"/>
      <c r="E348" s="138"/>
      <c r="L348" s="138"/>
      <c r="O348" s="138"/>
      <c r="R348" s="138"/>
      <c r="U348" s="138"/>
      <c r="X348" s="138"/>
    </row>
    <row r="349" spans="4:24" ht="12.75" customHeight="1" x14ac:dyDescent="0.25">
      <c r="D349" s="138"/>
      <c r="E349" s="138"/>
      <c r="L349" s="138"/>
      <c r="O349" s="138"/>
      <c r="R349" s="138"/>
      <c r="U349" s="138"/>
      <c r="X349" s="138"/>
    </row>
    <row r="350" spans="4:24" ht="12.75" customHeight="1" x14ac:dyDescent="0.25">
      <c r="D350" s="138"/>
      <c r="E350" s="138"/>
      <c r="L350" s="138"/>
      <c r="O350" s="138"/>
      <c r="R350" s="138"/>
      <c r="U350" s="138"/>
      <c r="X350" s="138"/>
    </row>
    <row r="351" spans="4:24" ht="12.75" customHeight="1" x14ac:dyDescent="0.25">
      <c r="D351" s="138"/>
      <c r="E351" s="138"/>
      <c r="L351" s="138"/>
      <c r="O351" s="138"/>
      <c r="R351" s="138"/>
      <c r="U351" s="138"/>
      <c r="X351" s="138"/>
    </row>
    <row r="352" spans="4:24" ht="12.75" customHeight="1" x14ac:dyDescent="0.25">
      <c r="D352" s="138"/>
      <c r="E352" s="138"/>
      <c r="L352" s="138"/>
      <c r="O352" s="138"/>
      <c r="R352" s="138"/>
      <c r="U352" s="138"/>
      <c r="X352" s="138"/>
    </row>
    <row r="353" spans="4:24" ht="12.75" customHeight="1" x14ac:dyDescent="0.25">
      <c r="D353" s="138"/>
      <c r="E353" s="138"/>
      <c r="L353" s="138"/>
      <c r="O353" s="138"/>
      <c r="R353" s="138"/>
      <c r="U353" s="138"/>
      <c r="X353" s="138"/>
    </row>
    <row r="354" spans="4:24" ht="12.75" customHeight="1" x14ac:dyDescent="0.25">
      <c r="D354" s="138"/>
      <c r="E354" s="138"/>
      <c r="L354" s="138"/>
      <c r="O354" s="138"/>
      <c r="R354" s="138"/>
      <c r="U354" s="138"/>
      <c r="X354" s="138"/>
    </row>
    <row r="355" spans="4:24" ht="12.75" customHeight="1" x14ac:dyDescent="0.25">
      <c r="D355" s="138"/>
      <c r="E355" s="138"/>
      <c r="L355" s="138"/>
      <c r="O355" s="138"/>
      <c r="R355" s="138"/>
      <c r="U355" s="138"/>
      <c r="X355" s="138"/>
    </row>
    <row r="356" spans="4:24" ht="12.75" customHeight="1" x14ac:dyDescent="0.25">
      <c r="D356" s="138"/>
      <c r="E356" s="138"/>
      <c r="L356" s="138"/>
      <c r="O356" s="138"/>
      <c r="R356" s="138"/>
      <c r="U356" s="138"/>
      <c r="X356" s="138"/>
    </row>
    <row r="357" spans="4:24" ht="12.75" customHeight="1" x14ac:dyDescent="0.25">
      <c r="D357" s="138"/>
      <c r="E357" s="138"/>
      <c r="L357" s="138"/>
      <c r="O357" s="138"/>
      <c r="R357" s="138"/>
      <c r="U357" s="138"/>
      <c r="X357" s="138"/>
    </row>
    <row r="358" spans="4:24" ht="12.75" customHeight="1" x14ac:dyDescent="0.25">
      <c r="D358" s="138"/>
      <c r="E358" s="138"/>
      <c r="L358" s="138"/>
      <c r="O358" s="138"/>
      <c r="R358" s="138"/>
      <c r="U358" s="138"/>
      <c r="X358" s="138"/>
    </row>
    <row r="359" spans="4:24" ht="12.75" customHeight="1" x14ac:dyDescent="0.25">
      <c r="D359" s="138"/>
      <c r="E359" s="138"/>
      <c r="L359" s="138"/>
      <c r="O359" s="138"/>
      <c r="R359" s="138"/>
      <c r="U359" s="138"/>
      <c r="X359" s="138"/>
    </row>
    <row r="360" spans="4:24" ht="12.75" customHeight="1" x14ac:dyDescent="0.25">
      <c r="D360" s="138"/>
      <c r="E360" s="138"/>
      <c r="L360" s="138"/>
      <c r="O360" s="138"/>
      <c r="R360" s="138"/>
      <c r="U360" s="138"/>
      <c r="X360" s="138"/>
    </row>
    <row r="361" spans="4:24" ht="12.75" customHeight="1" x14ac:dyDescent="0.25">
      <c r="D361" s="138"/>
      <c r="E361" s="138"/>
      <c r="L361" s="138"/>
      <c r="O361" s="138"/>
      <c r="R361" s="138"/>
      <c r="U361" s="138"/>
      <c r="X361" s="138"/>
    </row>
    <row r="362" spans="4:24" ht="12.75" customHeight="1" x14ac:dyDescent="0.25">
      <c r="D362" s="138"/>
      <c r="E362" s="138"/>
      <c r="L362" s="138"/>
      <c r="O362" s="138"/>
      <c r="R362" s="138"/>
      <c r="U362" s="138"/>
      <c r="X362" s="138"/>
    </row>
    <row r="363" spans="4:24" ht="12.75" customHeight="1" x14ac:dyDescent="0.25">
      <c r="D363" s="138"/>
      <c r="E363" s="138"/>
      <c r="L363" s="138"/>
      <c r="O363" s="138"/>
      <c r="R363" s="138"/>
      <c r="U363" s="138"/>
      <c r="X363" s="138"/>
    </row>
    <row r="364" spans="4:24" ht="12.75" customHeight="1" x14ac:dyDescent="0.25">
      <c r="D364" s="138"/>
      <c r="E364" s="138"/>
      <c r="L364" s="138"/>
      <c r="O364" s="138"/>
      <c r="R364" s="138"/>
      <c r="U364" s="138"/>
      <c r="X364" s="138"/>
    </row>
    <row r="365" spans="4:24" ht="12.75" customHeight="1" x14ac:dyDescent="0.25">
      <c r="D365" s="138"/>
      <c r="E365" s="138"/>
      <c r="L365" s="138"/>
      <c r="O365" s="138"/>
      <c r="R365" s="138"/>
      <c r="U365" s="138"/>
      <c r="X365" s="138"/>
    </row>
    <row r="366" spans="4:24" ht="12.75" customHeight="1" x14ac:dyDescent="0.25">
      <c r="D366" s="138"/>
      <c r="E366" s="138"/>
      <c r="L366" s="138"/>
      <c r="O366" s="138"/>
      <c r="R366" s="138"/>
      <c r="U366" s="138"/>
      <c r="X366" s="138"/>
    </row>
    <row r="367" spans="4:24" ht="12.75" customHeight="1" x14ac:dyDescent="0.25">
      <c r="D367" s="138"/>
      <c r="E367" s="138"/>
      <c r="L367" s="138"/>
      <c r="O367" s="138"/>
      <c r="R367" s="138"/>
      <c r="U367" s="138"/>
      <c r="X367" s="138"/>
    </row>
    <row r="368" spans="4:24" ht="12.75" customHeight="1" x14ac:dyDescent="0.25">
      <c r="D368" s="138"/>
      <c r="E368" s="138"/>
      <c r="L368" s="138"/>
      <c r="O368" s="138"/>
      <c r="R368" s="138"/>
      <c r="U368" s="138"/>
      <c r="X368" s="138"/>
    </row>
    <row r="369" spans="4:24" ht="12.75" customHeight="1" x14ac:dyDescent="0.25">
      <c r="D369" s="138"/>
      <c r="E369" s="138"/>
      <c r="L369" s="138"/>
      <c r="O369" s="138"/>
      <c r="R369" s="138"/>
      <c r="U369" s="138"/>
      <c r="X369" s="138"/>
    </row>
    <row r="370" spans="4:24" ht="12.75" customHeight="1" x14ac:dyDescent="0.25">
      <c r="D370" s="138"/>
      <c r="E370" s="138"/>
      <c r="L370" s="138"/>
      <c r="O370" s="138"/>
      <c r="R370" s="138"/>
      <c r="U370" s="138"/>
      <c r="X370" s="138"/>
    </row>
    <row r="371" spans="4:24" ht="12.75" customHeight="1" x14ac:dyDescent="0.25">
      <c r="D371" s="138"/>
      <c r="E371" s="138"/>
      <c r="L371" s="138"/>
      <c r="O371" s="138"/>
      <c r="R371" s="138"/>
      <c r="U371" s="138"/>
      <c r="X371" s="138"/>
    </row>
    <row r="372" spans="4:24" ht="12.75" customHeight="1" x14ac:dyDescent="0.25">
      <c r="D372" s="138"/>
      <c r="E372" s="138"/>
      <c r="L372" s="138"/>
      <c r="O372" s="138"/>
      <c r="R372" s="138"/>
      <c r="U372" s="138"/>
      <c r="X372" s="138"/>
    </row>
    <row r="373" spans="4:24" ht="12.75" customHeight="1" x14ac:dyDescent="0.25">
      <c r="D373" s="138"/>
      <c r="E373" s="138"/>
      <c r="L373" s="138"/>
      <c r="O373" s="138"/>
      <c r="R373" s="138"/>
      <c r="U373" s="138"/>
      <c r="X373" s="138"/>
    </row>
    <row r="374" spans="4:24" ht="12.75" customHeight="1" x14ac:dyDescent="0.25">
      <c r="D374" s="138"/>
      <c r="E374" s="138"/>
      <c r="L374" s="138"/>
      <c r="O374" s="138"/>
      <c r="R374" s="138"/>
      <c r="U374" s="138"/>
      <c r="X374" s="138"/>
    </row>
    <row r="375" spans="4:24" ht="12.75" customHeight="1" x14ac:dyDescent="0.25">
      <c r="D375" s="138"/>
      <c r="E375" s="138"/>
      <c r="L375" s="138"/>
      <c r="O375" s="138"/>
      <c r="R375" s="138"/>
      <c r="U375" s="138"/>
      <c r="X375" s="138"/>
    </row>
    <row r="376" spans="4:24" ht="12.75" customHeight="1" x14ac:dyDescent="0.25">
      <c r="D376" s="138"/>
      <c r="E376" s="138"/>
      <c r="L376" s="138"/>
      <c r="O376" s="138"/>
      <c r="R376" s="138"/>
      <c r="U376" s="138"/>
      <c r="X376" s="138"/>
    </row>
    <row r="377" spans="4:24" ht="12.75" customHeight="1" x14ac:dyDescent="0.25">
      <c r="D377" s="138"/>
      <c r="E377" s="138"/>
      <c r="L377" s="138"/>
      <c r="O377" s="138"/>
      <c r="R377" s="138"/>
      <c r="U377" s="138"/>
      <c r="X377" s="138"/>
    </row>
    <row r="378" spans="4:24" ht="12.75" customHeight="1" x14ac:dyDescent="0.25">
      <c r="D378" s="138"/>
      <c r="E378" s="138"/>
      <c r="L378" s="138"/>
      <c r="O378" s="138"/>
      <c r="R378" s="138"/>
      <c r="U378" s="138"/>
      <c r="X378" s="138"/>
    </row>
    <row r="379" spans="4:24" ht="12.75" customHeight="1" x14ac:dyDescent="0.25">
      <c r="D379" s="138"/>
      <c r="E379" s="138"/>
      <c r="L379" s="138"/>
      <c r="O379" s="138"/>
      <c r="R379" s="138"/>
      <c r="U379" s="138"/>
      <c r="X379" s="138"/>
    </row>
    <row r="380" spans="4:24" ht="12.75" customHeight="1" x14ac:dyDescent="0.25">
      <c r="D380" s="138"/>
      <c r="E380" s="138"/>
      <c r="L380" s="138"/>
      <c r="O380" s="138"/>
      <c r="R380" s="138"/>
      <c r="U380" s="138"/>
      <c r="X380" s="138"/>
    </row>
    <row r="381" spans="4:24" ht="12.75" customHeight="1" x14ac:dyDescent="0.25">
      <c r="D381" s="138"/>
      <c r="E381" s="138"/>
      <c r="L381" s="138"/>
      <c r="O381" s="138"/>
      <c r="R381" s="138"/>
      <c r="U381" s="138"/>
      <c r="X381" s="138"/>
    </row>
    <row r="382" spans="4:24" ht="12.75" customHeight="1" x14ac:dyDescent="0.25">
      <c r="D382" s="138"/>
      <c r="E382" s="138"/>
      <c r="L382" s="138"/>
      <c r="O382" s="138"/>
      <c r="R382" s="138"/>
      <c r="U382" s="138"/>
      <c r="X382" s="138"/>
    </row>
    <row r="383" spans="4:24" ht="12.75" customHeight="1" x14ac:dyDescent="0.25">
      <c r="D383" s="138"/>
      <c r="E383" s="138"/>
      <c r="L383" s="138"/>
      <c r="O383" s="138"/>
      <c r="R383" s="138"/>
      <c r="U383" s="138"/>
      <c r="X383" s="138"/>
    </row>
    <row r="384" spans="4:24" ht="12.75" customHeight="1" x14ac:dyDescent="0.25">
      <c r="D384" s="138"/>
      <c r="E384" s="138"/>
      <c r="L384" s="138"/>
      <c r="O384" s="138"/>
      <c r="R384" s="138"/>
      <c r="U384" s="138"/>
      <c r="X384" s="138"/>
    </row>
    <row r="385" spans="4:24" ht="12.75" customHeight="1" x14ac:dyDescent="0.25">
      <c r="D385" s="138"/>
      <c r="E385" s="138"/>
      <c r="L385" s="138"/>
      <c r="O385" s="138"/>
      <c r="R385" s="138"/>
      <c r="U385" s="138"/>
      <c r="X385" s="138"/>
    </row>
    <row r="386" spans="4:24" ht="12.75" customHeight="1" x14ac:dyDescent="0.25">
      <c r="D386" s="138"/>
      <c r="E386" s="138"/>
      <c r="L386" s="138"/>
      <c r="O386" s="138"/>
      <c r="R386" s="138"/>
      <c r="U386" s="138"/>
      <c r="X386" s="138"/>
    </row>
    <row r="387" spans="4:24" ht="12.75" customHeight="1" x14ac:dyDescent="0.25">
      <c r="D387" s="138"/>
      <c r="E387" s="138"/>
      <c r="L387" s="138"/>
      <c r="O387" s="138"/>
      <c r="R387" s="138"/>
      <c r="U387" s="138"/>
      <c r="X387" s="138"/>
    </row>
    <row r="388" spans="4:24" ht="12.75" customHeight="1" x14ac:dyDescent="0.25">
      <c r="D388" s="138"/>
      <c r="E388" s="138"/>
      <c r="L388" s="138"/>
      <c r="O388" s="138"/>
      <c r="R388" s="138"/>
      <c r="U388" s="138"/>
      <c r="X388" s="138"/>
    </row>
    <row r="389" spans="4:24" ht="12.75" customHeight="1" x14ac:dyDescent="0.25">
      <c r="D389" s="138"/>
      <c r="E389" s="138"/>
      <c r="L389" s="138"/>
      <c r="O389" s="138"/>
      <c r="R389" s="138"/>
      <c r="U389" s="138"/>
      <c r="X389" s="138"/>
    </row>
    <row r="390" spans="4:24" ht="12.75" customHeight="1" x14ac:dyDescent="0.25">
      <c r="D390" s="138"/>
      <c r="E390" s="138"/>
      <c r="L390" s="138"/>
      <c r="O390" s="138"/>
      <c r="R390" s="138"/>
      <c r="U390" s="138"/>
      <c r="X390" s="138"/>
    </row>
    <row r="391" spans="4:24" ht="12.75" customHeight="1" x14ac:dyDescent="0.25">
      <c r="D391" s="138"/>
      <c r="E391" s="138"/>
      <c r="L391" s="138"/>
      <c r="O391" s="138"/>
      <c r="R391" s="138"/>
      <c r="U391" s="138"/>
      <c r="X391" s="138"/>
    </row>
    <row r="392" spans="4:24" ht="12.75" customHeight="1" x14ac:dyDescent="0.25">
      <c r="D392" s="138"/>
      <c r="E392" s="138"/>
      <c r="L392" s="138"/>
      <c r="O392" s="138"/>
      <c r="R392" s="138"/>
      <c r="U392" s="138"/>
      <c r="X392" s="138"/>
    </row>
    <row r="393" spans="4:24" ht="12.75" customHeight="1" x14ac:dyDescent="0.25">
      <c r="D393" s="138"/>
      <c r="E393" s="138"/>
      <c r="L393" s="138"/>
      <c r="O393" s="138"/>
      <c r="R393" s="138"/>
      <c r="U393" s="138"/>
      <c r="X393" s="138"/>
    </row>
    <row r="394" spans="4:24" ht="12.75" customHeight="1" x14ac:dyDescent="0.25">
      <c r="D394" s="138"/>
      <c r="E394" s="138"/>
      <c r="L394" s="138"/>
      <c r="O394" s="138"/>
      <c r="R394" s="138"/>
      <c r="U394" s="138"/>
      <c r="X394" s="138"/>
    </row>
    <row r="395" spans="4:24" ht="12.75" customHeight="1" x14ac:dyDescent="0.25">
      <c r="D395" s="138"/>
      <c r="E395" s="138"/>
      <c r="L395" s="138"/>
      <c r="O395" s="138"/>
      <c r="R395" s="138"/>
      <c r="U395" s="138"/>
      <c r="X395" s="138"/>
    </row>
    <row r="396" spans="4:24" ht="12.75" customHeight="1" x14ac:dyDescent="0.25">
      <c r="D396" s="138"/>
      <c r="E396" s="138"/>
      <c r="L396" s="138"/>
      <c r="O396" s="138"/>
      <c r="R396" s="138"/>
      <c r="U396" s="138"/>
      <c r="X396" s="138"/>
    </row>
    <row r="397" spans="4:24" ht="12.75" customHeight="1" x14ac:dyDescent="0.25">
      <c r="D397" s="138"/>
      <c r="E397" s="138"/>
      <c r="L397" s="138"/>
      <c r="O397" s="138"/>
      <c r="R397" s="138"/>
      <c r="U397" s="138"/>
      <c r="X397" s="138"/>
    </row>
    <row r="398" spans="4:24" ht="12.75" customHeight="1" x14ac:dyDescent="0.25">
      <c r="D398" s="138"/>
      <c r="E398" s="138"/>
      <c r="L398" s="138"/>
      <c r="O398" s="138"/>
      <c r="R398" s="138"/>
      <c r="U398" s="138"/>
      <c r="X398" s="138"/>
    </row>
    <row r="399" spans="4:24" ht="12.75" customHeight="1" x14ac:dyDescent="0.25">
      <c r="D399" s="138"/>
      <c r="E399" s="138"/>
      <c r="L399" s="138"/>
      <c r="O399" s="138"/>
      <c r="R399" s="138"/>
      <c r="U399" s="138"/>
      <c r="X399" s="138"/>
    </row>
    <row r="400" spans="4:24" ht="12.75" customHeight="1" x14ac:dyDescent="0.25">
      <c r="D400" s="138"/>
      <c r="E400" s="138"/>
      <c r="L400" s="138"/>
      <c r="O400" s="138"/>
      <c r="R400" s="138"/>
      <c r="U400" s="138"/>
      <c r="X400" s="138"/>
    </row>
    <row r="401" spans="4:24" ht="12.75" customHeight="1" x14ac:dyDescent="0.25">
      <c r="D401" s="138"/>
      <c r="E401" s="138"/>
      <c r="L401" s="138"/>
      <c r="O401" s="138"/>
      <c r="R401" s="138"/>
      <c r="U401" s="138"/>
      <c r="X401" s="138"/>
    </row>
    <row r="402" spans="4:24" ht="12.75" customHeight="1" x14ac:dyDescent="0.25">
      <c r="D402" s="138"/>
      <c r="E402" s="138"/>
      <c r="L402" s="138"/>
      <c r="O402" s="138"/>
      <c r="R402" s="138"/>
      <c r="U402" s="138"/>
      <c r="X402" s="138"/>
    </row>
    <row r="403" spans="4:24" ht="12.75" customHeight="1" x14ac:dyDescent="0.25">
      <c r="D403" s="138"/>
      <c r="E403" s="138"/>
      <c r="L403" s="138"/>
      <c r="O403" s="138"/>
      <c r="R403" s="138"/>
      <c r="U403" s="138"/>
      <c r="X403" s="138"/>
    </row>
    <row r="404" spans="4:24" ht="12.75" customHeight="1" x14ac:dyDescent="0.25">
      <c r="D404" s="138"/>
      <c r="E404" s="138"/>
      <c r="L404" s="138"/>
      <c r="O404" s="138"/>
      <c r="R404" s="138"/>
      <c r="U404" s="138"/>
      <c r="X404" s="138"/>
    </row>
    <row r="405" spans="4:24" ht="12.75" customHeight="1" x14ac:dyDescent="0.25">
      <c r="D405" s="138"/>
      <c r="E405" s="138"/>
      <c r="L405" s="138"/>
      <c r="O405" s="138"/>
      <c r="R405" s="138"/>
      <c r="U405" s="138"/>
      <c r="X405" s="138"/>
    </row>
    <row r="406" spans="4:24" ht="12.75" customHeight="1" x14ac:dyDescent="0.25">
      <c r="D406" s="138"/>
      <c r="E406" s="138"/>
      <c r="L406" s="138"/>
      <c r="O406" s="138"/>
      <c r="R406" s="138"/>
      <c r="U406" s="138"/>
      <c r="X406" s="138"/>
    </row>
    <row r="407" spans="4:24" ht="12.75" customHeight="1" x14ac:dyDescent="0.25">
      <c r="D407" s="138"/>
      <c r="E407" s="138"/>
      <c r="L407" s="138"/>
      <c r="O407" s="138"/>
      <c r="R407" s="138"/>
      <c r="U407" s="138"/>
      <c r="X407" s="138"/>
    </row>
    <row r="408" spans="4:24" ht="12.75" customHeight="1" x14ac:dyDescent="0.25">
      <c r="D408" s="138"/>
      <c r="E408" s="138"/>
      <c r="L408" s="138"/>
      <c r="O408" s="138"/>
      <c r="R408" s="138"/>
      <c r="U408" s="138"/>
      <c r="X408" s="138"/>
    </row>
    <row r="409" spans="4:24" ht="12.75" customHeight="1" x14ac:dyDescent="0.25">
      <c r="D409" s="138"/>
      <c r="E409" s="138"/>
      <c r="L409" s="138"/>
      <c r="O409" s="138"/>
      <c r="R409" s="138"/>
      <c r="U409" s="138"/>
      <c r="X409" s="138"/>
    </row>
    <row r="410" spans="4:24" ht="12.75" customHeight="1" x14ac:dyDescent="0.25">
      <c r="D410" s="138"/>
      <c r="E410" s="138"/>
      <c r="L410" s="138"/>
      <c r="O410" s="138"/>
      <c r="R410" s="138"/>
      <c r="U410" s="138"/>
      <c r="X410" s="138"/>
    </row>
    <row r="411" spans="4:24" ht="12.75" customHeight="1" x14ac:dyDescent="0.25">
      <c r="D411" s="138"/>
      <c r="E411" s="138"/>
      <c r="L411" s="138"/>
      <c r="O411" s="138"/>
      <c r="R411" s="138"/>
      <c r="U411" s="138"/>
      <c r="X411" s="138"/>
    </row>
    <row r="412" spans="4:24" ht="12.75" customHeight="1" x14ac:dyDescent="0.25">
      <c r="D412" s="138"/>
      <c r="E412" s="138"/>
      <c r="L412" s="138"/>
      <c r="O412" s="138"/>
      <c r="R412" s="138"/>
      <c r="U412" s="138"/>
      <c r="X412" s="138"/>
    </row>
    <row r="413" spans="4:24" ht="12.75" customHeight="1" x14ac:dyDescent="0.25">
      <c r="D413" s="138"/>
      <c r="E413" s="138"/>
      <c r="L413" s="138"/>
      <c r="O413" s="138"/>
      <c r="R413" s="138"/>
      <c r="U413" s="138"/>
      <c r="X413" s="138"/>
    </row>
    <row r="414" spans="4:24" ht="12.75" customHeight="1" x14ac:dyDescent="0.25">
      <c r="D414" s="138"/>
      <c r="E414" s="138"/>
      <c r="L414" s="138"/>
      <c r="O414" s="138"/>
      <c r="R414" s="138"/>
      <c r="U414" s="138"/>
      <c r="X414" s="138"/>
    </row>
    <row r="415" spans="4:24" ht="12.75" customHeight="1" x14ac:dyDescent="0.25">
      <c r="D415" s="138"/>
      <c r="E415" s="138"/>
      <c r="L415" s="138"/>
      <c r="O415" s="138"/>
      <c r="R415" s="138"/>
      <c r="U415" s="138"/>
      <c r="X415" s="138"/>
    </row>
    <row r="416" spans="4:24" ht="12.75" customHeight="1" x14ac:dyDescent="0.25">
      <c r="D416" s="138"/>
      <c r="E416" s="138"/>
      <c r="L416" s="138"/>
      <c r="O416" s="138"/>
      <c r="R416" s="138"/>
      <c r="U416" s="138"/>
      <c r="X416" s="138"/>
    </row>
    <row r="417" spans="4:24" ht="12.75" customHeight="1" x14ac:dyDescent="0.25">
      <c r="D417" s="138"/>
      <c r="E417" s="138"/>
      <c r="L417" s="138"/>
      <c r="O417" s="138"/>
      <c r="R417" s="138"/>
      <c r="U417" s="138"/>
      <c r="X417" s="138"/>
    </row>
    <row r="418" spans="4:24" ht="12.75" customHeight="1" x14ac:dyDescent="0.25">
      <c r="D418" s="138"/>
      <c r="E418" s="138"/>
      <c r="L418" s="138"/>
      <c r="O418" s="138"/>
      <c r="R418" s="138"/>
      <c r="U418" s="138"/>
      <c r="X418" s="138"/>
    </row>
    <row r="419" spans="4:24" ht="12.75" customHeight="1" x14ac:dyDescent="0.25">
      <c r="D419" s="138"/>
      <c r="E419" s="138"/>
      <c r="L419" s="138"/>
      <c r="O419" s="138"/>
      <c r="R419" s="138"/>
      <c r="U419" s="138"/>
      <c r="X419" s="138"/>
    </row>
    <row r="420" spans="4:24" ht="12.75" customHeight="1" x14ac:dyDescent="0.25">
      <c r="D420" s="138"/>
      <c r="E420" s="138"/>
      <c r="L420" s="138"/>
      <c r="O420" s="138"/>
      <c r="R420" s="138"/>
      <c r="U420" s="138"/>
      <c r="X420" s="138"/>
    </row>
    <row r="421" spans="4:24" ht="12.75" customHeight="1" x14ac:dyDescent="0.25">
      <c r="D421" s="138"/>
      <c r="E421" s="138"/>
      <c r="L421" s="138"/>
      <c r="O421" s="138"/>
      <c r="R421" s="138"/>
      <c r="U421" s="138"/>
      <c r="X421" s="138"/>
    </row>
    <row r="422" spans="4:24" ht="12.75" customHeight="1" x14ac:dyDescent="0.25">
      <c r="D422" s="138"/>
      <c r="E422" s="138"/>
      <c r="L422" s="138"/>
      <c r="O422" s="138"/>
      <c r="R422" s="138"/>
      <c r="U422" s="138"/>
      <c r="X422" s="138"/>
    </row>
    <row r="423" spans="4:24" ht="12.75" customHeight="1" x14ac:dyDescent="0.25">
      <c r="D423" s="138"/>
      <c r="E423" s="138"/>
      <c r="L423" s="138"/>
      <c r="O423" s="138"/>
      <c r="R423" s="138"/>
      <c r="U423" s="138"/>
      <c r="X423" s="138"/>
    </row>
    <row r="424" spans="4:24" ht="12.75" customHeight="1" x14ac:dyDescent="0.25">
      <c r="D424" s="138"/>
      <c r="E424" s="138"/>
      <c r="L424" s="138"/>
      <c r="O424" s="138"/>
      <c r="R424" s="138"/>
      <c r="U424" s="138"/>
      <c r="X424" s="138"/>
    </row>
    <row r="425" spans="4:24" ht="12.75" customHeight="1" x14ac:dyDescent="0.25">
      <c r="D425" s="138"/>
      <c r="E425" s="138"/>
      <c r="L425" s="138"/>
      <c r="O425" s="138"/>
      <c r="R425" s="138"/>
      <c r="U425" s="138"/>
      <c r="X425" s="138"/>
    </row>
    <row r="426" spans="4:24" ht="12.75" customHeight="1" x14ac:dyDescent="0.25">
      <c r="D426" s="138"/>
      <c r="E426" s="138"/>
      <c r="L426" s="138"/>
      <c r="O426" s="138"/>
      <c r="R426" s="138"/>
      <c r="U426" s="138"/>
      <c r="X426" s="138"/>
    </row>
    <row r="427" spans="4:24" ht="12.75" customHeight="1" x14ac:dyDescent="0.25">
      <c r="D427" s="138"/>
      <c r="E427" s="138"/>
      <c r="L427" s="138"/>
      <c r="O427" s="138"/>
      <c r="R427" s="138"/>
      <c r="U427" s="138"/>
      <c r="X427" s="138"/>
    </row>
    <row r="428" spans="4:24" ht="12.75" customHeight="1" x14ac:dyDescent="0.25">
      <c r="D428" s="138"/>
      <c r="E428" s="138"/>
      <c r="L428" s="138"/>
      <c r="O428" s="138"/>
      <c r="R428" s="138"/>
      <c r="U428" s="138"/>
      <c r="X428" s="138"/>
    </row>
    <row r="429" spans="4:24" ht="12.75" customHeight="1" x14ac:dyDescent="0.25">
      <c r="D429" s="138"/>
      <c r="E429" s="138"/>
      <c r="L429" s="138"/>
      <c r="O429" s="138"/>
      <c r="R429" s="138"/>
      <c r="U429" s="138"/>
      <c r="X429" s="138"/>
    </row>
    <row r="430" spans="4:24" ht="12.75" customHeight="1" x14ac:dyDescent="0.25">
      <c r="D430" s="138"/>
      <c r="E430" s="138"/>
      <c r="L430" s="138"/>
      <c r="O430" s="138"/>
      <c r="R430" s="138"/>
      <c r="U430" s="138"/>
      <c r="X430" s="138"/>
    </row>
    <row r="431" spans="4:24" ht="12.75" customHeight="1" x14ac:dyDescent="0.25">
      <c r="D431" s="138"/>
      <c r="E431" s="138"/>
      <c r="L431" s="138"/>
      <c r="O431" s="138"/>
      <c r="R431" s="138"/>
      <c r="U431" s="138"/>
      <c r="X431" s="138"/>
    </row>
    <row r="432" spans="4:24" ht="12.75" customHeight="1" x14ac:dyDescent="0.25">
      <c r="D432" s="138"/>
      <c r="E432" s="138"/>
      <c r="L432" s="138"/>
      <c r="O432" s="138"/>
      <c r="R432" s="138"/>
      <c r="U432" s="138"/>
      <c r="X432" s="138"/>
    </row>
    <row r="433" spans="4:24" ht="12.75" customHeight="1" x14ac:dyDescent="0.25">
      <c r="D433" s="138"/>
      <c r="E433" s="138"/>
      <c r="L433" s="138"/>
      <c r="O433" s="138"/>
      <c r="R433" s="138"/>
      <c r="U433" s="138"/>
      <c r="X433" s="138"/>
    </row>
    <row r="434" spans="4:24" ht="12.75" customHeight="1" x14ac:dyDescent="0.25">
      <c r="D434" s="138"/>
      <c r="E434" s="138"/>
      <c r="L434" s="138"/>
      <c r="O434" s="138"/>
      <c r="R434" s="138"/>
      <c r="U434" s="138"/>
      <c r="X434" s="138"/>
    </row>
    <row r="435" spans="4:24" ht="12.75" customHeight="1" x14ac:dyDescent="0.25">
      <c r="D435" s="138"/>
      <c r="E435" s="138"/>
      <c r="L435" s="138"/>
      <c r="O435" s="138"/>
      <c r="R435" s="138"/>
      <c r="U435" s="138"/>
      <c r="X435" s="138"/>
    </row>
    <row r="436" spans="4:24" ht="12.75" customHeight="1" x14ac:dyDescent="0.25">
      <c r="D436" s="138"/>
      <c r="E436" s="138"/>
      <c r="L436" s="138"/>
      <c r="O436" s="138"/>
      <c r="R436" s="138"/>
      <c r="U436" s="138"/>
      <c r="X436" s="138"/>
    </row>
    <row r="437" spans="4:24" ht="12.75" customHeight="1" x14ac:dyDescent="0.25">
      <c r="D437" s="138"/>
      <c r="E437" s="138"/>
      <c r="L437" s="138"/>
      <c r="O437" s="138"/>
      <c r="R437" s="138"/>
      <c r="U437" s="138"/>
      <c r="X437" s="138"/>
    </row>
    <row r="438" spans="4:24" ht="12.75" customHeight="1" x14ac:dyDescent="0.25">
      <c r="D438" s="138"/>
      <c r="E438" s="138"/>
      <c r="L438" s="138"/>
      <c r="O438" s="138"/>
      <c r="R438" s="138"/>
      <c r="U438" s="138"/>
      <c r="X438" s="138"/>
    </row>
    <row r="439" spans="4:24" ht="12.75" customHeight="1" x14ac:dyDescent="0.25">
      <c r="D439" s="138"/>
      <c r="E439" s="138"/>
      <c r="L439" s="138"/>
      <c r="O439" s="138"/>
      <c r="R439" s="138"/>
      <c r="U439" s="138"/>
      <c r="X439" s="138"/>
    </row>
    <row r="440" spans="4:24" ht="12.75" customHeight="1" x14ac:dyDescent="0.25">
      <c r="D440" s="138"/>
      <c r="E440" s="138"/>
      <c r="L440" s="138"/>
      <c r="O440" s="138"/>
      <c r="R440" s="138"/>
      <c r="U440" s="138"/>
      <c r="X440" s="138"/>
    </row>
    <row r="441" spans="4:24" ht="12.75" customHeight="1" x14ac:dyDescent="0.25">
      <c r="D441" s="138"/>
      <c r="E441" s="138"/>
      <c r="L441" s="138"/>
      <c r="O441" s="138"/>
      <c r="R441" s="138"/>
      <c r="U441" s="138"/>
      <c r="X441" s="138"/>
    </row>
    <row r="442" spans="4:24" ht="12.75" customHeight="1" x14ac:dyDescent="0.25">
      <c r="D442" s="138"/>
      <c r="E442" s="138"/>
      <c r="L442" s="138"/>
      <c r="O442" s="138"/>
      <c r="R442" s="138"/>
      <c r="U442" s="138"/>
      <c r="X442" s="138"/>
    </row>
    <row r="443" spans="4:24" ht="12.75" customHeight="1" x14ac:dyDescent="0.25">
      <c r="D443" s="138"/>
      <c r="E443" s="138"/>
      <c r="L443" s="138"/>
      <c r="O443" s="138"/>
      <c r="R443" s="138"/>
      <c r="U443" s="138"/>
      <c r="X443" s="138"/>
    </row>
    <row r="444" spans="4:24" ht="12.75" customHeight="1" x14ac:dyDescent="0.25">
      <c r="D444" s="138"/>
      <c r="E444" s="138"/>
      <c r="L444" s="138"/>
      <c r="O444" s="138"/>
      <c r="R444" s="138"/>
      <c r="U444" s="138"/>
      <c r="X444" s="138"/>
    </row>
    <row r="445" spans="4:24" ht="12.75" customHeight="1" x14ac:dyDescent="0.25">
      <c r="D445" s="138"/>
      <c r="E445" s="138"/>
      <c r="L445" s="138"/>
      <c r="O445" s="138"/>
      <c r="R445" s="138"/>
      <c r="U445" s="138"/>
      <c r="X445" s="138"/>
    </row>
    <row r="446" spans="4:24" ht="12.75" customHeight="1" x14ac:dyDescent="0.25">
      <c r="D446" s="138"/>
      <c r="E446" s="138"/>
      <c r="L446" s="138"/>
      <c r="O446" s="138"/>
      <c r="R446" s="138"/>
      <c r="U446" s="138"/>
      <c r="X446" s="138"/>
    </row>
    <row r="447" spans="4:24" ht="12.75" customHeight="1" x14ac:dyDescent="0.25">
      <c r="D447" s="138"/>
      <c r="E447" s="138"/>
      <c r="L447" s="138"/>
      <c r="O447" s="138"/>
      <c r="R447" s="138"/>
      <c r="U447" s="138"/>
      <c r="X447" s="138"/>
    </row>
    <row r="448" spans="4:24" ht="12.75" customHeight="1" x14ac:dyDescent="0.25">
      <c r="D448" s="138"/>
      <c r="E448" s="138"/>
      <c r="L448" s="138"/>
      <c r="O448" s="138"/>
      <c r="R448" s="138"/>
      <c r="U448" s="138"/>
      <c r="X448" s="138"/>
    </row>
    <row r="449" spans="4:24" ht="12.75" customHeight="1" x14ac:dyDescent="0.25">
      <c r="D449" s="138"/>
      <c r="E449" s="138"/>
      <c r="L449" s="138"/>
      <c r="O449" s="138"/>
      <c r="R449" s="138"/>
      <c r="U449" s="138"/>
      <c r="X449" s="138"/>
    </row>
    <row r="450" spans="4:24" ht="12.75" customHeight="1" x14ac:dyDescent="0.25">
      <c r="D450" s="138"/>
      <c r="E450" s="138"/>
      <c r="L450" s="138"/>
      <c r="O450" s="138"/>
      <c r="R450" s="138"/>
      <c r="U450" s="138"/>
      <c r="X450" s="138"/>
    </row>
    <row r="451" spans="4:24" ht="12.75" customHeight="1" x14ac:dyDescent="0.25">
      <c r="D451" s="138"/>
      <c r="E451" s="138"/>
      <c r="L451" s="138"/>
      <c r="O451" s="138"/>
      <c r="R451" s="138"/>
      <c r="U451" s="138"/>
      <c r="X451" s="138"/>
    </row>
    <row r="452" spans="4:24" ht="12.75" customHeight="1" x14ac:dyDescent="0.25">
      <c r="D452" s="138"/>
      <c r="E452" s="138"/>
      <c r="L452" s="138"/>
      <c r="O452" s="138"/>
      <c r="R452" s="138"/>
      <c r="U452" s="138"/>
      <c r="X452" s="138"/>
    </row>
    <row r="453" spans="4:24" ht="12.75" customHeight="1" x14ac:dyDescent="0.25">
      <c r="D453" s="138"/>
      <c r="E453" s="138"/>
      <c r="L453" s="138"/>
      <c r="O453" s="138"/>
      <c r="R453" s="138"/>
      <c r="U453" s="138"/>
      <c r="X453" s="138"/>
    </row>
    <row r="454" spans="4:24" ht="12.75" customHeight="1" x14ac:dyDescent="0.25">
      <c r="D454" s="138"/>
      <c r="E454" s="138"/>
      <c r="L454" s="138"/>
      <c r="O454" s="138"/>
      <c r="R454" s="138"/>
      <c r="U454" s="138"/>
      <c r="X454" s="138"/>
    </row>
    <row r="455" spans="4:24" ht="12.75" customHeight="1" x14ac:dyDescent="0.25">
      <c r="D455" s="138"/>
      <c r="E455" s="138"/>
      <c r="L455" s="138"/>
      <c r="O455" s="138"/>
      <c r="R455" s="138"/>
      <c r="U455" s="138"/>
      <c r="X455" s="138"/>
    </row>
    <row r="456" spans="4:24" ht="12.75" customHeight="1" x14ac:dyDescent="0.25">
      <c r="D456" s="138"/>
      <c r="E456" s="138"/>
      <c r="L456" s="138"/>
      <c r="O456" s="138"/>
      <c r="R456" s="138"/>
      <c r="U456" s="138"/>
      <c r="X456" s="138"/>
    </row>
    <row r="457" spans="4:24" ht="12.75" customHeight="1" x14ac:dyDescent="0.25">
      <c r="D457" s="138"/>
      <c r="E457" s="138"/>
      <c r="L457" s="138"/>
      <c r="O457" s="138"/>
      <c r="R457" s="138"/>
      <c r="U457" s="138"/>
      <c r="X457" s="138"/>
    </row>
    <row r="458" spans="4:24" ht="12.75" customHeight="1" x14ac:dyDescent="0.25">
      <c r="D458" s="138"/>
      <c r="E458" s="138"/>
      <c r="L458" s="138"/>
      <c r="O458" s="138"/>
      <c r="R458" s="138"/>
      <c r="U458" s="138"/>
      <c r="X458" s="138"/>
    </row>
    <row r="459" spans="4:24" ht="12.75" customHeight="1" x14ac:dyDescent="0.25">
      <c r="D459" s="138"/>
      <c r="E459" s="138"/>
      <c r="L459" s="138"/>
      <c r="O459" s="138"/>
      <c r="R459" s="138"/>
      <c r="U459" s="138"/>
      <c r="X459" s="138"/>
    </row>
    <row r="460" spans="4:24" ht="12.75" customHeight="1" x14ac:dyDescent="0.25">
      <c r="D460" s="138"/>
      <c r="E460" s="138"/>
      <c r="L460" s="138"/>
      <c r="O460" s="138"/>
      <c r="R460" s="138"/>
      <c r="U460" s="138"/>
      <c r="X460" s="138"/>
    </row>
    <row r="461" spans="4:24" ht="12.75" customHeight="1" x14ac:dyDescent="0.25">
      <c r="D461" s="138"/>
      <c r="E461" s="138"/>
      <c r="L461" s="138"/>
      <c r="O461" s="138"/>
      <c r="R461" s="138"/>
      <c r="U461" s="138"/>
      <c r="X461" s="138"/>
    </row>
    <row r="462" spans="4:24" ht="12.75" customHeight="1" x14ac:dyDescent="0.25">
      <c r="D462" s="138"/>
      <c r="E462" s="138"/>
      <c r="L462" s="138"/>
      <c r="O462" s="138"/>
      <c r="R462" s="138"/>
      <c r="U462" s="138"/>
      <c r="X462" s="138"/>
    </row>
    <row r="463" spans="4:24" ht="12.75" customHeight="1" x14ac:dyDescent="0.25">
      <c r="D463" s="138"/>
      <c r="E463" s="138"/>
      <c r="L463" s="138"/>
      <c r="O463" s="138"/>
      <c r="R463" s="138"/>
      <c r="U463" s="138"/>
      <c r="X463" s="138"/>
    </row>
    <row r="464" spans="4:24" ht="12.75" customHeight="1" x14ac:dyDescent="0.25">
      <c r="D464" s="138"/>
      <c r="E464" s="138"/>
      <c r="L464" s="138"/>
      <c r="O464" s="138"/>
      <c r="R464" s="138"/>
      <c r="U464" s="138"/>
      <c r="X464" s="138"/>
    </row>
    <row r="465" spans="4:24" ht="12.75" customHeight="1" x14ac:dyDescent="0.25">
      <c r="D465" s="138"/>
      <c r="E465" s="138"/>
      <c r="L465" s="138"/>
      <c r="O465" s="138"/>
      <c r="R465" s="138"/>
      <c r="U465" s="138"/>
      <c r="X465" s="138"/>
    </row>
    <row r="466" spans="4:24" ht="12.75" customHeight="1" x14ac:dyDescent="0.25">
      <c r="D466" s="138"/>
      <c r="E466" s="138"/>
      <c r="L466" s="138"/>
      <c r="O466" s="138"/>
      <c r="R466" s="138"/>
      <c r="U466" s="138"/>
      <c r="X466" s="138"/>
    </row>
    <row r="467" spans="4:24" ht="12.75" customHeight="1" x14ac:dyDescent="0.25">
      <c r="D467" s="138"/>
      <c r="E467" s="138"/>
      <c r="L467" s="138"/>
      <c r="O467" s="138"/>
      <c r="R467" s="138"/>
      <c r="U467" s="138"/>
      <c r="X467" s="138"/>
    </row>
    <row r="468" spans="4:24" ht="12.75" customHeight="1" x14ac:dyDescent="0.25">
      <c r="D468" s="138"/>
      <c r="E468" s="138"/>
      <c r="L468" s="138"/>
      <c r="O468" s="138"/>
      <c r="R468" s="138"/>
      <c r="U468" s="138"/>
      <c r="X468" s="138"/>
    </row>
    <row r="469" spans="4:24" ht="12.75" customHeight="1" x14ac:dyDescent="0.25">
      <c r="D469" s="138"/>
      <c r="E469" s="138"/>
      <c r="L469" s="138"/>
      <c r="O469" s="138"/>
      <c r="R469" s="138"/>
      <c r="U469" s="138"/>
      <c r="X469" s="138"/>
    </row>
    <row r="470" spans="4:24" ht="12.75" customHeight="1" x14ac:dyDescent="0.25">
      <c r="D470" s="138"/>
      <c r="E470" s="138"/>
      <c r="L470" s="138"/>
      <c r="O470" s="138"/>
      <c r="R470" s="138"/>
      <c r="U470" s="138"/>
      <c r="X470" s="138"/>
    </row>
    <row r="471" spans="4:24" ht="12.75" customHeight="1" x14ac:dyDescent="0.25">
      <c r="D471" s="138"/>
      <c r="E471" s="138"/>
      <c r="L471" s="138"/>
      <c r="O471" s="138"/>
      <c r="R471" s="138"/>
      <c r="U471" s="138"/>
      <c r="X471" s="138"/>
    </row>
    <row r="472" spans="4:24" ht="12.75" customHeight="1" x14ac:dyDescent="0.25">
      <c r="D472" s="138"/>
      <c r="E472" s="138"/>
      <c r="L472" s="138"/>
      <c r="O472" s="138"/>
      <c r="R472" s="138"/>
      <c r="U472" s="138"/>
      <c r="X472" s="138"/>
    </row>
    <row r="473" spans="4:24" ht="12.75" customHeight="1" x14ac:dyDescent="0.25">
      <c r="D473" s="138"/>
      <c r="E473" s="138"/>
      <c r="L473" s="138"/>
      <c r="O473" s="138"/>
      <c r="R473" s="138"/>
      <c r="U473" s="138"/>
      <c r="X473" s="138"/>
    </row>
    <row r="474" spans="4:24" ht="12.75" customHeight="1" x14ac:dyDescent="0.25">
      <c r="D474" s="138"/>
      <c r="E474" s="138"/>
      <c r="L474" s="138"/>
      <c r="O474" s="138"/>
      <c r="R474" s="138"/>
      <c r="U474" s="138"/>
      <c r="X474" s="138"/>
    </row>
    <row r="475" spans="4:24" ht="12.75" customHeight="1" x14ac:dyDescent="0.25">
      <c r="D475" s="138"/>
      <c r="E475" s="138"/>
      <c r="L475" s="138"/>
      <c r="O475" s="138"/>
      <c r="R475" s="138"/>
      <c r="U475" s="138"/>
      <c r="X475" s="138"/>
    </row>
    <row r="476" spans="4:24" ht="12.75" customHeight="1" x14ac:dyDescent="0.25">
      <c r="D476" s="138"/>
      <c r="E476" s="138"/>
      <c r="L476" s="138"/>
      <c r="O476" s="138"/>
      <c r="R476" s="138"/>
      <c r="U476" s="138"/>
      <c r="X476" s="138"/>
    </row>
    <row r="477" spans="4:24" ht="12.75" customHeight="1" x14ac:dyDescent="0.25">
      <c r="D477" s="138"/>
      <c r="E477" s="138"/>
      <c r="L477" s="138"/>
      <c r="O477" s="138"/>
      <c r="R477" s="138"/>
      <c r="U477" s="138"/>
      <c r="X477" s="138"/>
    </row>
    <row r="478" spans="4:24" ht="12.75" customHeight="1" x14ac:dyDescent="0.25">
      <c r="D478" s="138"/>
      <c r="E478" s="138"/>
      <c r="L478" s="138"/>
      <c r="O478" s="138"/>
      <c r="R478" s="138"/>
      <c r="U478" s="138"/>
      <c r="X478" s="138"/>
    </row>
    <row r="479" spans="4:24" ht="12.75" customHeight="1" x14ac:dyDescent="0.25">
      <c r="D479" s="138"/>
      <c r="E479" s="138"/>
      <c r="L479" s="138"/>
      <c r="O479" s="138"/>
      <c r="R479" s="138"/>
      <c r="U479" s="138"/>
      <c r="X479" s="138"/>
    </row>
    <row r="480" spans="4:24" ht="12.75" customHeight="1" x14ac:dyDescent="0.25">
      <c r="D480" s="138"/>
      <c r="E480" s="138"/>
      <c r="L480" s="138"/>
      <c r="O480" s="138"/>
      <c r="R480" s="138"/>
      <c r="U480" s="138"/>
      <c r="X480" s="138"/>
    </row>
    <row r="481" spans="4:24" ht="12.75" customHeight="1" x14ac:dyDescent="0.25">
      <c r="D481" s="138"/>
      <c r="E481" s="138"/>
      <c r="L481" s="138"/>
      <c r="O481" s="138"/>
      <c r="R481" s="138"/>
      <c r="U481" s="138"/>
      <c r="X481" s="138"/>
    </row>
    <row r="482" spans="4:24" ht="12.75" customHeight="1" x14ac:dyDescent="0.25">
      <c r="D482" s="138"/>
      <c r="E482" s="138"/>
      <c r="L482" s="138"/>
      <c r="O482" s="138"/>
      <c r="R482" s="138"/>
      <c r="U482" s="138"/>
      <c r="X482" s="138"/>
    </row>
    <row r="483" spans="4:24" ht="12.75" customHeight="1" x14ac:dyDescent="0.25">
      <c r="D483" s="138"/>
      <c r="E483" s="138"/>
      <c r="L483" s="138"/>
      <c r="O483" s="138"/>
      <c r="R483" s="138"/>
      <c r="U483" s="138"/>
      <c r="X483" s="138"/>
    </row>
    <row r="484" spans="4:24" ht="12.75" customHeight="1" x14ac:dyDescent="0.25">
      <c r="D484" s="138"/>
      <c r="E484" s="138"/>
      <c r="L484" s="138"/>
      <c r="O484" s="138"/>
      <c r="R484" s="138"/>
      <c r="U484" s="138"/>
      <c r="X484" s="138"/>
    </row>
    <row r="485" spans="4:24" ht="12.75" customHeight="1" x14ac:dyDescent="0.25">
      <c r="D485" s="138"/>
      <c r="E485" s="138"/>
      <c r="L485" s="138"/>
      <c r="O485" s="138"/>
      <c r="R485" s="138"/>
      <c r="U485" s="138"/>
      <c r="X485" s="138"/>
    </row>
    <row r="486" spans="4:24" ht="12.75" customHeight="1" x14ac:dyDescent="0.25">
      <c r="D486" s="138"/>
      <c r="E486" s="138"/>
      <c r="L486" s="138"/>
      <c r="O486" s="138"/>
      <c r="R486" s="138"/>
      <c r="U486" s="138"/>
      <c r="X486" s="138"/>
    </row>
    <row r="487" spans="4:24" ht="12.75" customHeight="1" x14ac:dyDescent="0.25">
      <c r="D487" s="138"/>
      <c r="E487" s="138"/>
      <c r="L487" s="138"/>
      <c r="O487" s="138"/>
      <c r="R487" s="138"/>
      <c r="U487" s="138"/>
      <c r="X487" s="138"/>
    </row>
    <row r="488" spans="4:24" ht="12.75" customHeight="1" x14ac:dyDescent="0.25">
      <c r="D488" s="138"/>
      <c r="E488" s="138"/>
      <c r="L488" s="138"/>
      <c r="O488" s="138"/>
      <c r="R488" s="138"/>
      <c r="U488" s="138"/>
      <c r="X488" s="138"/>
    </row>
    <row r="489" spans="4:24" ht="12.75" customHeight="1" x14ac:dyDescent="0.25">
      <c r="D489" s="138"/>
      <c r="E489" s="138"/>
      <c r="L489" s="138"/>
      <c r="O489" s="138"/>
      <c r="R489" s="138"/>
      <c r="U489" s="138"/>
      <c r="X489" s="138"/>
    </row>
    <row r="490" spans="4:24" ht="12.75" customHeight="1" x14ac:dyDescent="0.25">
      <c r="D490" s="138"/>
      <c r="E490" s="138"/>
      <c r="L490" s="138"/>
      <c r="O490" s="138"/>
      <c r="R490" s="138"/>
      <c r="U490" s="138"/>
      <c r="X490" s="138"/>
    </row>
    <row r="491" spans="4:24" ht="12.75" customHeight="1" x14ac:dyDescent="0.25">
      <c r="D491" s="138"/>
      <c r="E491" s="138"/>
      <c r="L491" s="138"/>
      <c r="O491" s="138"/>
      <c r="R491" s="138"/>
      <c r="U491" s="138"/>
      <c r="X491" s="138"/>
    </row>
    <row r="492" spans="4:24" ht="12.75" customHeight="1" x14ac:dyDescent="0.25">
      <c r="D492" s="138"/>
      <c r="E492" s="138"/>
      <c r="L492" s="138"/>
      <c r="O492" s="138"/>
      <c r="R492" s="138"/>
      <c r="U492" s="138"/>
      <c r="X492" s="138"/>
    </row>
    <row r="493" spans="4:24" ht="12.75" customHeight="1" x14ac:dyDescent="0.25">
      <c r="D493" s="138"/>
      <c r="E493" s="138"/>
      <c r="L493" s="138"/>
      <c r="O493" s="138"/>
      <c r="R493" s="138"/>
      <c r="U493" s="138"/>
      <c r="X493" s="138"/>
    </row>
    <row r="494" spans="4:24" ht="12.75" customHeight="1" x14ac:dyDescent="0.25">
      <c r="D494" s="138"/>
      <c r="E494" s="138"/>
      <c r="L494" s="138"/>
      <c r="O494" s="138"/>
      <c r="R494" s="138"/>
      <c r="U494" s="138"/>
      <c r="X494" s="138"/>
    </row>
    <row r="495" spans="4:24" ht="12.75" customHeight="1" x14ac:dyDescent="0.25">
      <c r="D495" s="138"/>
      <c r="E495" s="138"/>
      <c r="L495" s="138"/>
      <c r="O495" s="138"/>
      <c r="R495" s="138"/>
      <c r="U495" s="138"/>
      <c r="X495" s="138"/>
    </row>
    <row r="496" spans="4:24" ht="12.75" customHeight="1" x14ac:dyDescent="0.25">
      <c r="D496" s="138"/>
      <c r="E496" s="138"/>
      <c r="L496" s="138"/>
      <c r="O496" s="138"/>
      <c r="R496" s="138"/>
      <c r="U496" s="138"/>
      <c r="X496" s="138"/>
    </row>
    <row r="497" spans="4:24" ht="12.75" customHeight="1" x14ac:dyDescent="0.25">
      <c r="D497" s="138"/>
      <c r="E497" s="138"/>
      <c r="L497" s="138"/>
      <c r="O497" s="138"/>
      <c r="R497" s="138"/>
      <c r="U497" s="138"/>
      <c r="X497" s="138"/>
    </row>
    <row r="498" spans="4:24" ht="12.75" customHeight="1" x14ac:dyDescent="0.25">
      <c r="D498" s="138"/>
      <c r="E498" s="138"/>
      <c r="L498" s="138"/>
      <c r="O498" s="138"/>
      <c r="R498" s="138"/>
      <c r="U498" s="138"/>
      <c r="X498" s="138"/>
    </row>
    <row r="499" spans="4:24" ht="12.75" customHeight="1" x14ac:dyDescent="0.25">
      <c r="D499" s="138"/>
      <c r="E499" s="138"/>
      <c r="L499" s="138"/>
      <c r="O499" s="138"/>
      <c r="R499" s="138"/>
      <c r="U499" s="138"/>
      <c r="X499" s="138"/>
    </row>
    <row r="500" spans="4:24" ht="12.75" customHeight="1" x14ac:dyDescent="0.25">
      <c r="D500" s="138"/>
      <c r="E500" s="138"/>
      <c r="L500" s="138"/>
      <c r="O500" s="138"/>
      <c r="R500" s="138"/>
      <c r="U500" s="138"/>
      <c r="X500" s="138"/>
    </row>
    <row r="501" spans="4:24" ht="12.75" customHeight="1" x14ac:dyDescent="0.25">
      <c r="D501" s="138"/>
      <c r="E501" s="138"/>
      <c r="L501" s="138"/>
      <c r="O501" s="138"/>
      <c r="R501" s="138"/>
      <c r="U501" s="138"/>
      <c r="X501" s="138"/>
    </row>
    <row r="502" spans="4:24" ht="12.75" customHeight="1" x14ac:dyDescent="0.25">
      <c r="D502" s="138"/>
      <c r="E502" s="138"/>
      <c r="L502" s="138"/>
      <c r="O502" s="138"/>
      <c r="R502" s="138"/>
      <c r="U502" s="138"/>
      <c r="X502" s="138"/>
    </row>
    <row r="503" spans="4:24" ht="12.75" customHeight="1" x14ac:dyDescent="0.25">
      <c r="D503" s="138"/>
      <c r="E503" s="138"/>
      <c r="L503" s="138"/>
      <c r="O503" s="138"/>
      <c r="R503" s="138"/>
      <c r="U503" s="138"/>
      <c r="X503" s="138"/>
    </row>
    <row r="504" spans="4:24" ht="12.75" customHeight="1" x14ac:dyDescent="0.25">
      <c r="D504" s="138"/>
      <c r="E504" s="138"/>
      <c r="L504" s="138"/>
      <c r="O504" s="138"/>
      <c r="R504" s="138"/>
      <c r="U504" s="138"/>
      <c r="X504" s="138"/>
    </row>
    <row r="505" spans="4:24" ht="12.75" customHeight="1" x14ac:dyDescent="0.25">
      <c r="D505" s="138"/>
      <c r="E505" s="138"/>
      <c r="L505" s="138"/>
      <c r="O505" s="138"/>
      <c r="R505" s="138"/>
      <c r="U505" s="138"/>
      <c r="X505" s="138"/>
    </row>
    <row r="506" spans="4:24" ht="12.75" customHeight="1" x14ac:dyDescent="0.25">
      <c r="D506" s="138"/>
      <c r="E506" s="138"/>
      <c r="L506" s="138"/>
      <c r="O506" s="138"/>
      <c r="R506" s="138"/>
      <c r="U506" s="138"/>
      <c r="X506" s="138"/>
    </row>
    <row r="507" spans="4:24" ht="12.75" customHeight="1" x14ac:dyDescent="0.25">
      <c r="D507" s="138"/>
      <c r="E507" s="138"/>
      <c r="L507" s="138"/>
      <c r="O507" s="138"/>
      <c r="R507" s="138"/>
      <c r="U507" s="138"/>
      <c r="X507" s="138"/>
    </row>
    <row r="508" spans="4:24" ht="12.75" customHeight="1" x14ac:dyDescent="0.25">
      <c r="D508" s="138"/>
      <c r="E508" s="138"/>
      <c r="L508" s="138"/>
      <c r="O508" s="138"/>
      <c r="R508" s="138"/>
      <c r="U508" s="138"/>
      <c r="X508" s="138"/>
    </row>
    <row r="509" spans="4:24" ht="12.75" customHeight="1" x14ac:dyDescent="0.25">
      <c r="D509" s="138"/>
      <c r="E509" s="138"/>
      <c r="L509" s="138"/>
      <c r="O509" s="138"/>
      <c r="R509" s="138"/>
      <c r="U509" s="138"/>
      <c r="X509" s="138"/>
    </row>
    <row r="510" spans="4:24" ht="12.75" customHeight="1" x14ac:dyDescent="0.25">
      <c r="D510" s="138"/>
      <c r="E510" s="138"/>
      <c r="L510" s="138"/>
      <c r="O510" s="138"/>
      <c r="R510" s="138"/>
      <c r="U510" s="138"/>
      <c r="X510" s="138"/>
    </row>
    <row r="511" spans="4:24" ht="12.75" customHeight="1" x14ac:dyDescent="0.25">
      <c r="D511" s="138"/>
      <c r="E511" s="138"/>
      <c r="L511" s="138"/>
      <c r="O511" s="138"/>
      <c r="R511" s="138"/>
      <c r="U511" s="138"/>
      <c r="X511" s="138"/>
    </row>
    <row r="512" spans="4:24" ht="12.75" customHeight="1" x14ac:dyDescent="0.25">
      <c r="D512" s="138"/>
      <c r="E512" s="138"/>
      <c r="L512" s="138"/>
      <c r="O512" s="138"/>
      <c r="R512" s="138"/>
      <c r="U512" s="138"/>
      <c r="X512" s="138"/>
    </row>
    <row r="513" spans="4:24" ht="12.75" customHeight="1" x14ac:dyDescent="0.25">
      <c r="D513" s="138"/>
      <c r="E513" s="138"/>
      <c r="L513" s="138"/>
      <c r="O513" s="138"/>
      <c r="R513" s="138"/>
      <c r="U513" s="138"/>
      <c r="X513" s="138"/>
    </row>
    <row r="514" spans="4:24" ht="12.75" customHeight="1" x14ac:dyDescent="0.25">
      <c r="D514" s="138"/>
      <c r="E514" s="138"/>
      <c r="L514" s="138"/>
      <c r="O514" s="138"/>
      <c r="R514" s="138"/>
      <c r="U514" s="138"/>
      <c r="X514" s="138"/>
    </row>
    <row r="515" spans="4:24" ht="12.75" customHeight="1" x14ac:dyDescent="0.25">
      <c r="D515" s="138"/>
      <c r="E515" s="138"/>
      <c r="L515" s="138"/>
      <c r="O515" s="138"/>
      <c r="R515" s="138"/>
      <c r="U515" s="138"/>
      <c r="X515" s="138"/>
    </row>
    <row r="516" spans="4:24" ht="12.75" customHeight="1" x14ac:dyDescent="0.25">
      <c r="D516" s="138"/>
      <c r="E516" s="138"/>
      <c r="L516" s="138"/>
      <c r="O516" s="138"/>
      <c r="R516" s="138"/>
      <c r="U516" s="138"/>
      <c r="X516" s="138"/>
    </row>
    <row r="517" spans="4:24" ht="12.75" customHeight="1" x14ac:dyDescent="0.25">
      <c r="D517" s="138"/>
      <c r="E517" s="138"/>
      <c r="L517" s="138"/>
      <c r="O517" s="138"/>
      <c r="R517" s="138"/>
      <c r="U517" s="138"/>
      <c r="X517" s="138"/>
    </row>
    <row r="518" spans="4:24" ht="12.75" customHeight="1" x14ac:dyDescent="0.25">
      <c r="D518" s="138"/>
      <c r="E518" s="138"/>
      <c r="L518" s="138"/>
      <c r="O518" s="138"/>
      <c r="R518" s="138"/>
      <c r="U518" s="138"/>
      <c r="X518" s="138"/>
    </row>
    <row r="519" spans="4:24" ht="12.75" customHeight="1" x14ac:dyDescent="0.25">
      <c r="D519" s="138"/>
      <c r="E519" s="138"/>
      <c r="L519" s="138"/>
      <c r="O519" s="138"/>
      <c r="R519" s="138"/>
      <c r="U519" s="138"/>
      <c r="X519" s="138"/>
    </row>
    <row r="520" spans="4:24" ht="12.75" customHeight="1" x14ac:dyDescent="0.25">
      <c r="D520" s="138"/>
      <c r="E520" s="138"/>
      <c r="L520" s="138"/>
      <c r="O520" s="138"/>
      <c r="R520" s="138"/>
      <c r="U520" s="138"/>
      <c r="X520" s="138"/>
    </row>
    <row r="521" spans="4:24" ht="12.75" customHeight="1" x14ac:dyDescent="0.25">
      <c r="D521" s="138"/>
      <c r="E521" s="138"/>
      <c r="L521" s="138"/>
      <c r="O521" s="138"/>
      <c r="R521" s="138"/>
      <c r="U521" s="138"/>
      <c r="X521" s="138"/>
    </row>
    <row r="522" spans="4:24" ht="12.75" customHeight="1" x14ac:dyDescent="0.25">
      <c r="D522" s="138"/>
      <c r="E522" s="138"/>
      <c r="L522" s="138"/>
      <c r="O522" s="138"/>
      <c r="R522" s="138"/>
      <c r="U522" s="138"/>
      <c r="X522" s="138"/>
    </row>
    <row r="523" spans="4:24" ht="12.75" customHeight="1" x14ac:dyDescent="0.25">
      <c r="D523" s="138"/>
      <c r="E523" s="138"/>
      <c r="L523" s="138"/>
      <c r="O523" s="138"/>
      <c r="R523" s="138"/>
      <c r="U523" s="138"/>
      <c r="X523" s="138"/>
    </row>
    <row r="524" spans="4:24" ht="12.75" customHeight="1" x14ac:dyDescent="0.25">
      <c r="D524" s="138"/>
      <c r="E524" s="138"/>
      <c r="L524" s="138"/>
      <c r="O524" s="138"/>
      <c r="R524" s="138"/>
      <c r="U524" s="138"/>
      <c r="X524" s="138"/>
    </row>
    <row r="525" spans="4:24" ht="12.75" customHeight="1" x14ac:dyDescent="0.25">
      <c r="D525" s="138"/>
      <c r="E525" s="138"/>
      <c r="L525" s="138"/>
      <c r="O525" s="138"/>
      <c r="R525" s="138"/>
      <c r="U525" s="138"/>
      <c r="X525" s="138"/>
    </row>
    <row r="526" spans="4:24" ht="12.75" customHeight="1" x14ac:dyDescent="0.25">
      <c r="D526" s="138"/>
      <c r="E526" s="138"/>
      <c r="L526" s="138"/>
      <c r="O526" s="138"/>
      <c r="R526" s="138"/>
      <c r="U526" s="138"/>
      <c r="X526" s="138"/>
    </row>
    <row r="527" spans="4:24" ht="12.75" customHeight="1" x14ac:dyDescent="0.25">
      <c r="D527" s="138"/>
      <c r="E527" s="138"/>
      <c r="L527" s="138"/>
      <c r="O527" s="138"/>
      <c r="R527" s="138"/>
      <c r="U527" s="138"/>
      <c r="X527" s="138"/>
    </row>
    <row r="528" spans="4:24" ht="12.75" customHeight="1" x14ac:dyDescent="0.25">
      <c r="D528" s="138"/>
      <c r="E528" s="138"/>
      <c r="L528" s="138"/>
      <c r="O528" s="138"/>
      <c r="R528" s="138"/>
      <c r="U528" s="138"/>
      <c r="X528" s="138"/>
    </row>
    <row r="529" spans="4:24" ht="12.75" customHeight="1" x14ac:dyDescent="0.25">
      <c r="D529" s="138"/>
      <c r="E529" s="138"/>
      <c r="L529" s="138"/>
      <c r="O529" s="138"/>
      <c r="R529" s="138"/>
      <c r="U529" s="138"/>
      <c r="X529" s="138"/>
    </row>
    <row r="530" spans="4:24" ht="12.75" customHeight="1" x14ac:dyDescent="0.25">
      <c r="D530" s="138"/>
      <c r="E530" s="138"/>
      <c r="L530" s="138"/>
      <c r="O530" s="138"/>
      <c r="R530" s="138"/>
      <c r="U530" s="138"/>
      <c r="X530" s="138"/>
    </row>
    <row r="531" spans="4:24" ht="12.75" customHeight="1" x14ac:dyDescent="0.25">
      <c r="D531" s="138"/>
      <c r="E531" s="138"/>
      <c r="L531" s="138"/>
      <c r="O531" s="138"/>
      <c r="R531" s="138"/>
      <c r="U531" s="138"/>
      <c r="X531" s="138"/>
    </row>
    <row r="532" spans="4:24" ht="12.75" customHeight="1" x14ac:dyDescent="0.25">
      <c r="D532" s="138"/>
      <c r="E532" s="138"/>
      <c r="L532" s="138"/>
      <c r="O532" s="138"/>
      <c r="R532" s="138"/>
      <c r="U532" s="138"/>
      <c r="X532" s="138"/>
    </row>
    <row r="533" spans="4:24" ht="12.75" customHeight="1" x14ac:dyDescent="0.25">
      <c r="D533" s="138"/>
      <c r="E533" s="138"/>
      <c r="L533" s="138"/>
      <c r="O533" s="138"/>
      <c r="R533" s="138"/>
      <c r="U533" s="138"/>
      <c r="X533" s="138"/>
    </row>
    <row r="534" spans="4:24" ht="12.75" customHeight="1" x14ac:dyDescent="0.25">
      <c r="D534" s="138"/>
      <c r="E534" s="138"/>
      <c r="L534" s="138"/>
      <c r="O534" s="138"/>
      <c r="R534" s="138"/>
      <c r="U534" s="138"/>
      <c r="X534" s="138"/>
    </row>
    <row r="535" spans="4:24" ht="12.75" customHeight="1" x14ac:dyDescent="0.25">
      <c r="D535" s="138"/>
      <c r="E535" s="138"/>
      <c r="L535" s="138"/>
      <c r="O535" s="138"/>
      <c r="R535" s="138"/>
      <c r="U535" s="138"/>
      <c r="X535" s="138"/>
    </row>
    <row r="536" spans="4:24" ht="12.75" customHeight="1" x14ac:dyDescent="0.25">
      <c r="D536" s="138"/>
      <c r="E536" s="138"/>
      <c r="L536" s="138"/>
      <c r="O536" s="138"/>
      <c r="R536" s="138"/>
      <c r="U536" s="138"/>
      <c r="X536" s="138"/>
    </row>
    <row r="537" spans="4:24" ht="12.75" customHeight="1" x14ac:dyDescent="0.25">
      <c r="D537" s="138"/>
      <c r="E537" s="138"/>
      <c r="L537" s="138"/>
      <c r="O537" s="138"/>
      <c r="R537" s="138"/>
      <c r="U537" s="138"/>
      <c r="X537" s="138"/>
    </row>
    <row r="538" spans="4:24" ht="12.75" customHeight="1" x14ac:dyDescent="0.25">
      <c r="D538" s="138"/>
      <c r="E538" s="138"/>
      <c r="L538" s="138"/>
      <c r="O538" s="138"/>
      <c r="R538" s="138"/>
      <c r="U538" s="138"/>
      <c r="X538" s="138"/>
    </row>
    <row r="539" spans="4:24" ht="12.75" customHeight="1" x14ac:dyDescent="0.25">
      <c r="D539" s="138"/>
      <c r="E539" s="138"/>
      <c r="L539" s="138"/>
      <c r="O539" s="138"/>
      <c r="R539" s="138"/>
      <c r="U539" s="138"/>
      <c r="X539" s="138"/>
    </row>
    <row r="540" spans="4:24" ht="12.75" customHeight="1" x14ac:dyDescent="0.25">
      <c r="D540" s="138"/>
      <c r="E540" s="138"/>
      <c r="L540" s="138"/>
      <c r="O540" s="138"/>
      <c r="R540" s="138"/>
      <c r="U540" s="138"/>
      <c r="X540" s="138"/>
    </row>
    <row r="541" spans="4:24" ht="12.75" customHeight="1" x14ac:dyDescent="0.25">
      <c r="D541" s="138"/>
      <c r="E541" s="138"/>
      <c r="L541" s="138"/>
      <c r="O541" s="138"/>
      <c r="R541" s="138"/>
      <c r="U541" s="138"/>
      <c r="X541" s="138"/>
    </row>
    <row r="542" spans="4:24" ht="12.75" customHeight="1" x14ac:dyDescent="0.25">
      <c r="D542" s="138"/>
      <c r="E542" s="138"/>
      <c r="L542" s="138"/>
      <c r="O542" s="138"/>
      <c r="R542" s="138"/>
      <c r="U542" s="138"/>
      <c r="X542" s="138"/>
    </row>
    <row r="543" spans="4:24" ht="12.75" customHeight="1" x14ac:dyDescent="0.25">
      <c r="D543" s="138"/>
      <c r="E543" s="138"/>
      <c r="L543" s="138"/>
      <c r="O543" s="138"/>
      <c r="R543" s="138"/>
      <c r="U543" s="138"/>
      <c r="X543" s="138"/>
    </row>
    <row r="544" spans="4:24" ht="12.75" customHeight="1" x14ac:dyDescent="0.25">
      <c r="D544" s="138"/>
      <c r="E544" s="138"/>
      <c r="L544" s="138"/>
      <c r="O544" s="138"/>
      <c r="R544" s="138"/>
      <c r="U544" s="138"/>
      <c r="X544" s="138"/>
    </row>
    <row r="545" spans="4:24" ht="12.75" customHeight="1" x14ac:dyDescent="0.25">
      <c r="D545" s="138"/>
      <c r="E545" s="138"/>
      <c r="L545" s="138"/>
      <c r="O545" s="138"/>
      <c r="R545" s="138"/>
      <c r="U545" s="138"/>
      <c r="X545" s="138"/>
    </row>
    <row r="546" spans="4:24" ht="12.75" customHeight="1" x14ac:dyDescent="0.25">
      <c r="D546" s="138"/>
      <c r="E546" s="138"/>
      <c r="L546" s="138"/>
      <c r="O546" s="138"/>
      <c r="R546" s="138"/>
      <c r="U546" s="138"/>
      <c r="X546" s="138"/>
    </row>
    <row r="547" spans="4:24" ht="12.75" customHeight="1" x14ac:dyDescent="0.25">
      <c r="D547" s="138"/>
      <c r="E547" s="138"/>
      <c r="L547" s="138"/>
      <c r="O547" s="138"/>
      <c r="R547" s="138"/>
      <c r="U547" s="138"/>
      <c r="X547" s="138"/>
    </row>
    <row r="548" spans="4:24" ht="12.75" customHeight="1" x14ac:dyDescent="0.25">
      <c r="D548" s="138"/>
      <c r="E548" s="138"/>
      <c r="L548" s="138"/>
      <c r="O548" s="138"/>
      <c r="R548" s="138"/>
      <c r="U548" s="138"/>
      <c r="X548" s="138"/>
    </row>
    <row r="549" spans="4:24" ht="12.75" customHeight="1" x14ac:dyDescent="0.25">
      <c r="D549" s="138"/>
      <c r="E549" s="138"/>
      <c r="L549" s="138"/>
      <c r="O549" s="138"/>
      <c r="R549" s="138"/>
      <c r="U549" s="138"/>
      <c r="X549" s="138"/>
    </row>
    <row r="550" spans="4:24" ht="12.75" customHeight="1" x14ac:dyDescent="0.25">
      <c r="D550" s="138"/>
      <c r="E550" s="138"/>
      <c r="L550" s="138"/>
      <c r="O550" s="138"/>
      <c r="R550" s="138"/>
      <c r="U550" s="138"/>
      <c r="X550" s="138"/>
    </row>
    <row r="551" spans="4:24" ht="12.75" customHeight="1" x14ac:dyDescent="0.25">
      <c r="D551" s="138"/>
      <c r="E551" s="138"/>
      <c r="L551" s="138"/>
      <c r="O551" s="138"/>
      <c r="R551" s="138"/>
      <c r="U551" s="138"/>
      <c r="X551" s="138"/>
    </row>
    <row r="552" spans="4:24" ht="12.75" customHeight="1" x14ac:dyDescent="0.25">
      <c r="D552" s="138"/>
      <c r="E552" s="138"/>
      <c r="L552" s="138"/>
      <c r="O552" s="138"/>
      <c r="R552" s="138"/>
      <c r="U552" s="138"/>
      <c r="X552" s="138"/>
    </row>
    <row r="553" spans="4:24" ht="12.75" customHeight="1" x14ac:dyDescent="0.25">
      <c r="D553" s="138"/>
      <c r="E553" s="138"/>
      <c r="L553" s="138"/>
      <c r="O553" s="138"/>
      <c r="R553" s="138"/>
      <c r="U553" s="138"/>
      <c r="X553" s="138"/>
    </row>
    <row r="554" spans="4:24" ht="12.75" customHeight="1" x14ac:dyDescent="0.25">
      <c r="D554" s="138"/>
      <c r="E554" s="138"/>
      <c r="L554" s="138"/>
      <c r="O554" s="138"/>
      <c r="R554" s="138"/>
      <c r="U554" s="138"/>
      <c r="X554" s="138"/>
    </row>
    <row r="555" spans="4:24" ht="12.75" customHeight="1" x14ac:dyDescent="0.25">
      <c r="D555" s="138"/>
      <c r="E555" s="138"/>
      <c r="L555" s="138"/>
      <c r="O555" s="138"/>
      <c r="R555" s="138"/>
      <c r="U555" s="138"/>
      <c r="X555" s="138"/>
    </row>
    <row r="556" spans="4:24" ht="12.75" customHeight="1" x14ac:dyDescent="0.25">
      <c r="D556" s="138"/>
      <c r="E556" s="138"/>
      <c r="L556" s="138"/>
      <c r="O556" s="138"/>
      <c r="R556" s="138"/>
      <c r="U556" s="138"/>
      <c r="X556" s="138"/>
    </row>
    <row r="557" spans="4:24" ht="12.75" customHeight="1" x14ac:dyDescent="0.25">
      <c r="D557" s="138"/>
      <c r="E557" s="138"/>
      <c r="L557" s="138"/>
      <c r="O557" s="138"/>
      <c r="R557" s="138"/>
      <c r="U557" s="138"/>
      <c r="X557" s="138"/>
    </row>
    <row r="558" spans="4:24" ht="12.75" customHeight="1" x14ac:dyDescent="0.25">
      <c r="D558" s="138"/>
      <c r="E558" s="138"/>
      <c r="L558" s="138"/>
      <c r="O558" s="138"/>
      <c r="R558" s="138"/>
      <c r="U558" s="138"/>
      <c r="X558" s="138"/>
    </row>
    <row r="559" spans="4:24" ht="12.75" customHeight="1" x14ac:dyDescent="0.25">
      <c r="D559" s="138"/>
      <c r="E559" s="138"/>
      <c r="L559" s="138"/>
      <c r="O559" s="138"/>
      <c r="R559" s="138"/>
      <c r="U559" s="138"/>
      <c r="X559" s="138"/>
    </row>
    <row r="560" spans="4:24" ht="12.75" customHeight="1" x14ac:dyDescent="0.25">
      <c r="D560" s="138"/>
      <c r="E560" s="138"/>
      <c r="L560" s="138"/>
      <c r="O560" s="138"/>
      <c r="R560" s="138"/>
      <c r="U560" s="138"/>
      <c r="X560" s="138"/>
    </row>
    <row r="561" spans="4:24" ht="12.75" customHeight="1" x14ac:dyDescent="0.25">
      <c r="D561" s="138"/>
      <c r="E561" s="138"/>
      <c r="L561" s="138"/>
      <c r="O561" s="138"/>
      <c r="R561" s="138"/>
      <c r="U561" s="138"/>
      <c r="X561" s="138"/>
    </row>
    <row r="562" spans="4:24" ht="12.75" customHeight="1" x14ac:dyDescent="0.25">
      <c r="D562" s="138"/>
      <c r="E562" s="138"/>
      <c r="L562" s="138"/>
      <c r="O562" s="138"/>
      <c r="R562" s="138"/>
      <c r="U562" s="138"/>
      <c r="X562" s="138"/>
    </row>
    <row r="563" spans="4:24" ht="12.75" customHeight="1" x14ac:dyDescent="0.25">
      <c r="D563" s="138"/>
      <c r="E563" s="138"/>
      <c r="L563" s="138"/>
      <c r="O563" s="138"/>
      <c r="R563" s="138"/>
      <c r="U563" s="138"/>
      <c r="X563" s="138"/>
    </row>
    <row r="564" spans="4:24" ht="12.75" customHeight="1" x14ac:dyDescent="0.25">
      <c r="D564" s="138"/>
      <c r="E564" s="138"/>
      <c r="L564" s="138"/>
      <c r="O564" s="138"/>
      <c r="R564" s="138"/>
      <c r="U564" s="138"/>
      <c r="X564" s="138"/>
    </row>
    <row r="565" spans="4:24" ht="12.75" customHeight="1" x14ac:dyDescent="0.25">
      <c r="D565" s="138"/>
      <c r="E565" s="138"/>
      <c r="L565" s="138"/>
      <c r="O565" s="138"/>
      <c r="R565" s="138"/>
      <c r="U565" s="138"/>
      <c r="X565" s="138"/>
    </row>
    <row r="566" spans="4:24" ht="12.75" customHeight="1" x14ac:dyDescent="0.25">
      <c r="D566" s="138"/>
      <c r="E566" s="138"/>
      <c r="L566" s="138"/>
      <c r="O566" s="138"/>
      <c r="R566" s="138"/>
      <c r="U566" s="138"/>
      <c r="X566" s="138"/>
    </row>
    <row r="567" spans="4:24" ht="12.75" customHeight="1" x14ac:dyDescent="0.25">
      <c r="D567" s="138"/>
      <c r="E567" s="138"/>
      <c r="L567" s="138"/>
      <c r="O567" s="138"/>
      <c r="R567" s="138"/>
      <c r="U567" s="138"/>
      <c r="X567" s="138"/>
    </row>
    <row r="568" spans="4:24" ht="12.75" customHeight="1" x14ac:dyDescent="0.25">
      <c r="D568" s="138"/>
      <c r="E568" s="138"/>
      <c r="L568" s="138"/>
      <c r="O568" s="138"/>
      <c r="R568" s="138"/>
      <c r="U568" s="138"/>
      <c r="X568" s="138"/>
    </row>
    <row r="569" spans="4:24" ht="12.75" customHeight="1" x14ac:dyDescent="0.25">
      <c r="D569" s="138"/>
      <c r="E569" s="138"/>
      <c r="L569" s="138"/>
      <c r="O569" s="138"/>
      <c r="R569" s="138"/>
      <c r="U569" s="138"/>
      <c r="X569" s="138"/>
    </row>
    <row r="570" spans="4:24" ht="12.75" customHeight="1" x14ac:dyDescent="0.25">
      <c r="D570" s="138"/>
      <c r="E570" s="138"/>
      <c r="L570" s="138"/>
      <c r="O570" s="138"/>
      <c r="R570" s="138"/>
      <c r="U570" s="138"/>
      <c r="X570" s="138"/>
    </row>
    <row r="571" spans="4:24" ht="12.75" customHeight="1" x14ac:dyDescent="0.25">
      <c r="D571" s="138"/>
      <c r="E571" s="138"/>
      <c r="L571" s="138"/>
      <c r="O571" s="138"/>
      <c r="R571" s="138"/>
      <c r="U571" s="138"/>
      <c r="X571" s="138"/>
    </row>
    <row r="572" spans="4:24" ht="12.75" customHeight="1" x14ac:dyDescent="0.25">
      <c r="D572" s="138"/>
      <c r="E572" s="138"/>
      <c r="L572" s="138"/>
      <c r="O572" s="138"/>
      <c r="R572" s="138"/>
      <c r="U572" s="138"/>
      <c r="X572" s="138"/>
    </row>
    <row r="573" spans="4:24" ht="12.75" customHeight="1" x14ac:dyDescent="0.25">
      <c r="D573" s="138"/>
      <c r="E573" s="138"/>
      <c r="L573" s="138"/>
      <c r="O573" s="138"/>
      <c r="R573" s="138"/>
      <c r="U573" s="138"/>
      <c r="X573" s="138"/>
    </row>
    <row r="574" spans="4:24" ht="12.75" customHeight="1" x14ac:dyDescent="0.25">
      <c r="D574" s="138"/>
      <c r="E574" s="138"/>
      <c r="L574" s="138"/>
      <c r="O574" s="138"/>
      <c r="R574" s="138"/>
      <c r="U574" s="138"/>
      <c r="X574" s="138"/>
    </row>
    <row r="575" spans="4:24" ht="12.75" customHeight="1" x14ac:dyDescent="0.25">
      <c r="D575" s="138"/>
      <c r="E575" s="138"/>
      <c r="L575" s="138"/>
      <c r="O575" s="138"/>
      <c r="R575" s="138"/>
      <c r="U575" s="138"/>
      <c r="X575" s="138"/>
    </row>
    <row r="576" spans="4:24" ht="12.75" customHeight="1" x14ac:dyDescent="0.25">
      <c r="D576" s="138"/>
      <c r="E576" s="138"/>
      <c r="L576" s="138"/>
      <c r="O576" s="138"/>
      <c r="R576" s="138"/>
      <c r="U576" s="138"/>
      <c r="X576" s="138"/>
    </row>
    <row r="577" spans="4:24" ht="12.75" customHeight="1" x14ac:dyDescent="0.25">
      <c r="D577" s="138"/>
      <c r="E577" s="138"/>
      <c r="L577" s="138"/>
      <c r="O577" s="138"/>
      <c r="R577" s="138"/>
      <c r="U577" s="138"/>
      <c r="X577" s="138"/>
    </row>
    <row r="578" spans="4:24" ht="12.75" customHeight="1" x14ac:dyDescent="0.25">
      <c r="D578" s="138"/>
      <c r="E578" s="138"/>
      <c r="L578" s="138"/>
      <c r="O578" s="138"/>
      <c r="R578" s="138"/>
      <c r="U578" s="138"/>
      <c r="X578" s="138"/>
    </row>
    <row r="579" spans="4:24" ht="12.75" customHeight="1" x14ac:dyDescent="0.25">
      <c r="D579" s="138"/>
      <c r="E579" s="138"/>
      <c r="L579" s="138"/>
      <c r="O579" s="138"/>
      <c r="R579" s="138"/>
      <c r="U579" s="138"/>
      <c r="X579" s="138"/>
    </row>
    <row r="580" spans="4:24" ht="12.75" customHeight="1" x14ac:dyDescent="0.25">
      <c r="D580" s="138"/>
      <c r="E580" s="138"/>
      <c r="L580" s="138"/>
      <c r="O580" s="138"/>
      <c r="R580" s="138"/>
      <c r="U580" s="138"/>
      <c r="X580" s="138"/>
    </row>
    <row r="581" spans="4:24" ht="12.75" customHeight="1" x14ac:dyDescent="0.25">
      <c r="D581" s="138"/>
      <c r="E581" s="138"/>
      <c r="L581" s="138"/>
      <c r="O581" s="138"/>
      <c r="R581" s="138"/>
      <c r="U581" s="138"/>
      <c r="X581" s="138"/>
    </row>
    <row r="582" spans="4:24" ht="12.75" customHeight="1" x14ac:dyDescent="0.25">
      <c r="D582" s="138"/>
      <c r="E582" s="138"/>
      <c r="L582" s="138"/>
      <c r="O582" s="138"/>
      <c r="R582" s="138"/>
      <c r="U582" s="138"/>
      <c r="X582" s="138"/>
    </row>
    <row r="583" spans="4:24" ht="12.75" customHeight="1" x14ac:dyDescent="0.25">
      <c r="D583" s="138"/>
      <c r="E583" s="138"/>
      <c r="L583" s="138"/>
      <c r="O583" s="138"/>
      <c r="R583" s="138"/>
      <c r="U583" s="138"/>
      <c r="X583" s="138"/>
    </row>
    <row r="584" spans="4:24" ht="12.75" customHeight="1" x14ac:dyDescent="0.25">
      <c r="D584" s="138"/>
      <c r="E584" s="138"/>
      <c r="L584" s="138"/>
      <c r="O584" s="138"/>
      <c r="R584" s="138"/>
      <c r="U584" s="138"/>
      <c r="X584" s="138"/>
    </row>
    <row r="585" spans="4:24" ht="12.75" customHeight="1" x14ac:dyDescent="0.25">
      <c r="D585" s="138"/>
      <c r="E585" s="138"/>
      <c r="L585" s="138"/>
      <c r="O585" s="138"/>
      <c r="R585" s="138"/>
      <c r="U585" s="138"/>
      <c r="X585" s="138"/>
    </row>
    <row r="586" spans="4:24" ht="12.75" customHeight="1" x14ac:dyDescent="0.25">
      <c r="D586" s="138"/>
      <c r="E586" s="138"/>
      <c r="L586" s="138"/>
      <c r="O586" s="138"/>
      <c r="R586" s="138"/>
      <c r="U586" s="138"/>
      <c r="X586" s="138"/>
    </row>
    <row r="587" spans="4:24" ht="12.75" customHeight="1" x14ac:dyDescent="0.25">
      <c r="D587" s="138"/>
      <c r="E587" s="138"/>
      <c r="L587" s="138"/>
      <c r="O587" s="138"/>
      <c r="R587" s="138"/>
      <c r="U587" s="138"/>
      <c r="X587" s="138"/>
    </row>
    <row r="588" spans="4:24" ht="12.75" customHeight="1" x14ac:dyDescent="0.25">
      <c r="D588" s="138"/>
      <c r="E588" s="138"/>
      <c r="L588" s="138"/>
      <c r="O588" s="138"/>
      <c r="R588" s="138"/>
      <c r="U588" s="138"/>
      <c r="X588" s="138"/>
    </row>
    <row r="589" spans="4:24" ht="12.75" customHeight="1" x14ac:dyDescent="0.25">
      <c r="D589" s="138"/>
      <c r="E589" s="138"/>
      <c r="L589" s="138"/>
      <c r="O589" s="138"/>
      <c r="R589" s="138"/>
      <c r="U589" s="138"/>
      <c r="X589" s="138"/>
    </row>
    <row r="590" spans="4:24" ht="12.75" customHeight="1" x14ac:dyDescent="0.25">
      <c r="D590" s="138"/>
      <c r="E590" s="138"/>
      <c r="L590" s="138"/>
      <c r="O590" s="138"/>
      <c r="R590" s="138"/>
      <c r="U590" s="138"/>
      <c r="X590" s="138"/>
    </row>
    <row r="591" spans="4:24" ht="12.75" customHeight="1" x14ac:dyDescent="0.25">
      <c r="D591" s="138"/>
      <c r="E591" s="138"/>
      <c r="L591" s="138"/>
      <c r="O591" s="138"/>
      <c r="R591" s="138"/>
      <c r="U591" s="138"/>
      <c r="X591" s="138"/>
    </row>
    <row r="592" spans="4:24" ht="12.75" customHeight="1" x14ac:dyDescent="0.25">
      <c r="D592" s="138"/>
      <c r="E592" s="138"/>
      <c r="L592" s="138"/>
      <c r="O592" s="138"/>
      <c r="R592" s="138"/>
      <c r="U592" s="138"/>
      <c r="X592" s="138"/>
    </row>
    <row r="593" spans="4:24" ht="12.75" customHeight="1" x14ac:dyDescent="0.25">
      <c r="D593" s="138"/>
      <c r="E593" s="138"/>
      <c r="L593" s="138"/>
      <c r="O593" s="138"/>
      <c r="R593" s="138"/>
      <c r="U593" s="138"/>
      <c r="X593" s="138"/>
    </row>
    <row r="594" spans="4:24" ht="12.75" customHeight="1" x14ac:dyDescent="0.25">
      <c r="D594" s="138"/>
      <c r="E594" s="138"/>
      <c r="L594" s="138"/>
      <c r="O594" s="138"/>
      <c r="R594" s="138"/>
      <c r="U594" s="138"/>
      <c r="X594" s="138"/>
    </row>
    <row r="595" spans="4:24" ht="12.75" customHeight="1" x14ac:dyDescent="0.25">
      <c r="D595" s="138"/>
      <c r="E595" s="138"/>
      <c r="L595" s="138"/>
      <c r="O595" s="138"/>
      <c r="R595" s="138"/>
      <c r="U595" s="138"/>
      <c r="X595" s="138"/>
    </row>
    <row r="596" spans="4:24" ht="12.75" customHeight="1" x14ac:dyDescent="0.25">
      <c r="D596" s="138"/>
      <c r="E596" s="138"/>
      <c r="L596" s="138"/>
      <c r="O596" s="138"/>
      <c r="R596" s="138"/>
      <c r="U596" s="138"/>
      <c r="X596" s="138"/>
    </row>
    <row r="597" spans="4:24" ht="12.75" customHeight="1" x14ac:dyDescent="0.25">
      <c r="D597" s="138"/>
      <c r="E597" s="138"/>
      <c r="L597" s="138"/>
      <c r="O597" s="138"/>
      <c r="R597" s="138"/>
      <c r="U597" s="138"/>
      <c r="X597" s="138"/>
    </row>
    <row r="598" spans="4:24" ht="12.75" customHeight="1" x14ac:dyDescent="0.25">
      <c r="D598" s="138"/>
      <c r="E598" s="138"/>
      <c r="L598" s="138"/>
      <c r="O598" s="138"/>
      <c r="R598" s="138"/>
      <c r="U598" s="138"/>
      <c r="X598" s="138"/>
    </row>
    <row r="599" spans="4:24" ht="12.75" customHeight="1" x14ac:dyDescent="0.25">
      <c r="D599" s="138"/>
      <c r="E599" s="138"/>
      <c r="L599" s="138"/>
      <c r="O599" s="138"/>
      <c r="R599" s="138"/>
      <c r="U599" s="138"/>
      <c r="X599" s="138"/>
    </row>
    <row r="600" spans="4:24" ht="12.75" customHeight="1" x14ac:dyDescent="0.25">
      <c r="D600" s="138"/>
      <c r="E600" s="138"/>
      <c r="L600" s="138"/>
      <c r="O600" s="138"/>
      <c r="R600" s="138"/>
      <c r="U600" s="138"/>
      <c r="X600" s="138"/>
    </row>
    <row r="601" spans="4:24" ht="12.75" customHeight="1" x14ac:dyDescent="0.25">
      <c r="D601" s="138"/>
      <c r="E601" s="138"/>
      <c r="L601" s="138"/>
      <c r="O601" s="138"/>
      <c r="R601" s="138"/>
      <c r="U601" s="138"/>
      <c r="X601" s="138"/>
    </row>
    <row r="602" spans="4:24" ht="12.75" customHeight="1" x14ac:dyDescent="0.25">
      <c r="D602" s="138"/>
      <c r="E602" s="138"/>
      <c r="L602" s="138"/>
      <c r="O602" s="138"/>
      <c r="R602" s="138"/>
      <c r="U602" s="138"/>
      <c r="X602" s="138"/>
    </row>
    <row r="603" spans="4:24" ht="12.75" customHeight="1" x14ac:dyDescent="0.25">
      <c r="D603" s="138"/>
      <c r="E603" s="138"/>
      <c r="L603" s="138"/>
      <c r="O603" s="138"/>
      <c r="R603" s="138"/>
      <c r="U603" s="138"/>
      <c r="X603" s="138"/>
    </row>
    <row r="604" spans="4:24" ht="12.75" customHeight="1" x14ac:dyDescent="0.25">
      <c r="D604" s="138"/>
      <c r="E604" s="138"/>
      <c r="L604" s="138"/>
      <c r="O604" s="138"/>
      <c r="R604" s="138"/>
      <c r="U604" s="138"/>
      <c r="X604" s="138"/>
    </row>
    <row r="605" spans="4:24" ht="12.75" customHeight="1" x14ac:dyDescent="0.25">
      <c r="D605" s="138"/>
      <c r="E605" s="138"/>
      <c r="L605" s="138"/>
      <c r="O605" s="138"/>
      <c r="R605" s="138"/>
      <c r="U605" s="138"/>
      <c r="X605" s="138"/>
    </row>
    <row r="606" spans="4:24" ht="12.75" customHeight="1" x14ac:dyDescent="0.25">
      <c r="D606" s="138"/>
      <c r="E606" s="138"/>
      <c r="L606" s="138"/>
      <c r="O606" s="138"/>
      <c r="R606" s="138"/>
      <c r="U606" s="138"/>
      <c r="X606" s="138"/>
    </row>
    <row r="607" spans="4:24" ht="12.75" customHeight="1" x14ac:dyDescent="0.25">
      <c r="D607" s="138"/>
      <c r="E607" s="138"/>
      <c r="L607" s="138"/>
      <c r="O607" s="138"/>
      <c r="R607" s="138"/>
      <c r="U607" s="138"/>
      <c r="X607" s="138"/>
    </row>
    <row r="608" spans="4:24" ht="12.75" customHeight="1" x14ac:dyDescent="0.25">
      <c r="D608" s="138"/>
      <c r="E608" s="138"/>
      <c r="L608" s="138"/>
      <c r="O608" s="138"/>
      <c r="R608" s="138"/>
      <c r="U608" s="138"/>
      <c r="X608" s="138"/>
    </row>
    <row r="609" spans="4:24" ht="12.75" customHeight="1" x14ac:dyDescent="0.25">
      <c r="D609" s="138"/>
      <c r="E609" s="138"/>
      <c r="L609" s="138"/>
      <c r="O609" s="138"/>
      <c r="R609" s="138"/>
      <c r="U609" s="138"/>
      <c r="X609" s="138"/>
    </row>
    <row r="610" spans="4:24" ht="12.75" customHeight="1" x14ac:dyDescent="0.25">
      <c r="D610" s="138"/>
      <c r="E610" s="138"/>
      <c r="L610" s="138"/>
      <c r="O610" s="138"/>
      <c r="R610" s="138"/>
      <c r="U610" s="138"/>
      <c r="X610" s="138"/>
    </row>
    <row r="611" spans="4:24" ht="12.75" customHeight="1" x14ac:dyDescent="0.25">
      <c r="D611" s="138"/>
      <c r="E611" s="138"/>
      <c r="L611" s="138"/>
      <c r="O611" s="138"/>
      <c r="R611" s="138"/>
      <c r="U611" s="138"/>
      <c r="X611" s="138"/>
    </row>
    <row r="612" spans="4:24" ht="12.75" customHeight="1" x14ac:dyDescent="0.25">
      <c r="D612" s="138"/>
      <c r="E612" s="138"/>
      <c r="L612" s="138"/>
      <c r="O612" s="138"/>
      <c r="R612" s="138"/>
      <c r="U612" s="138"/>
      <c r="X612" s="138"/>
    </row>
    <row r="613" spans="4:24" ht="12.75" customHeight="1" x14ac:dyDescent="0.25">
      <c r="D613" s="138"/>
      <c r="E613" s="138"/>
      <c r="L613" s="138"/>
      <c r="O613" s="138"/>
      <c r="R613" s="138"/>
      <c r="U613" s="138"/>
      <c r="X613" s="138"/>
    </row>
    <row r="614" spans="4:24" ht="12.75" customHeight="1" x14ac:dyDescent="0.25">
      <c r="D614" s="138"/>
      <c r="E614" s="138"/>
      <c r="L614" s="138"/>
      <c r="O614" s="138"/>
      <c r="R614" s="138"/>
      <c r="U614" s="138"/>
      <c r="X614" s="138"/>
    </row>
    <row r="615" spans="4:24" ht="12.75" customHeight="1" x14ac:dyDescent="0.25">
      <c r="D615" s="138"/>
      <c r="E615" s="138"/>
      <c r="L615" s="138"/>
      <c r="O615" s="138"/>
      <c r="R615" s="138"/>
      <c r="U615" s="138"/>
      <c r="X615" s="138"/>
    </row>
    <row r="616" spans="4:24" ht="12.75" customHeight="1" x14ac:dyDescent="0.25">
      <c r="D616" s="138"/>
      <c r="E616" s="138"/>
      <c r="L616" s="138"/>
      <c r="O616" s="138"/>
      <c r="R616" s="138"/>
      <c r="U616" s="138"/>
      <c r="X616" s="138"/>
    </row>
    <row r="617" spans="4:24" ht="12.75" customHeight="1" x14ac:dyDescent="0.25">
      <c r="D617" s="138"/>
      <c r="E617" s="138"/>
      <c r="L617" s="138"/>
      <c r="O617" s="138"/>
      <c r="R617" s="138"/>
      <c r="U617" s="138"/>
      <c r="X617" s="138"/>
    </row>
    <row r="618" spans="4:24" ht="12.75" customHeight="1" x14ac:dyDescent="0.25">
      <c r="D618" s="138"/>
      <c r="E618" s="138"/>
      <c r="L618" s="138"/>
      <c r="O618" s="138"/>
      <c r="R618" s="138"/>
      <c r="U618" s="138"/>
      <c r="X618" s="138"/>
    </row>
    <row r="619" spans="4:24" ht="12.75" customHeight="1" x14ac:dyDescent="0.25">
      <c r="D619" s="138"/>
      <c r="E619" s="138"/>
      <c r="L619" s="138"/>
      <c r="O619" s="138"/>
      <c r="R619" s="138"/>
      <c r="U619" s="138"/>
      <c r="X619" s="138"/>
    </row>
    <row r="620" spans="4:24" ht="12.75" customHeight="1" x14ac:dyDescent="0.25">
      <c r="D620" s="138"/>
      <c r="E620" s="138"/>
      <c r="L620" s="138"/>
      <c r="O620" s="138"/>
      <c r="R620" s="138"/>
      <c r="U620" s="138"/>
      <c r="X620" s="138"/>
    </row>
    <row r="621" spans="4:24" ht="12.75" customHeight="1" x14ac:dyDescent="0.25">
      <c r="D621" s="138"/>
      <c r="E621" s="138"/>
      <c r="L621" s="138"/>
      <c r="O621" s="138"/>
      <c r="R621" s="138"/>
      <c r="U621" s="138"/>
      <c r="X621" s="138"/>
    </row>
    <row r="622" spans="4:24" ht="12.75" customHeight="1" x14ac:dyDescent="0.25">
      <c r="D622" s="138"/>
      <c r="E622" s="138"/>
      <c r="L622" s="138"/>
      <c r="O622" s="138"/>
      <c r="R622" s="138"/>
      <c r="U622" s="138"/>
      <c r="X622" s="138"/>
    </row>
    <row r="623" spans="4:24" ht="12.75" customHeight="1" x14ac:dyDescent="0.25">
      <c r="D623" s="138"/>
      <c r="E623" s="138"/>
      <c r="L623" s="138"/>
      <c r="O623" s="138"/>
      <c r="R623" s="138"/>
      <c r="U623" s="138"/>
      <c r="X623" s="138"/>
    </row>
    <row r="624" spans="4:24" ht="12.75" customHeight="1" x14ac:dyDescent="0.25">
      <c r="D624" s="138"/>
      <c r="E624" s="138"/>
      <c r="L624" s="138"/>
      <c r="O624" s="138"/>
      <c r="R624" s="138"/>
      <c r="U624" s="138"/>
      <c r="X624" s="138"/>
    </row>
    <row r="625" spans="4:24" ht="12.75" customHeight="1" x14ac:dyDescent="0.25">
      <c r="D625" s="138"/>
      <c r="E625" s="138"/>
      <c r="L625" s="138"/>
      <c r="O625" s="138"/>
      <c r="R625" s="138"/>
      <c r="U625" s="138"/>
      <c r="X625" s="138"/>
    </row>
    <row r="626" spans="4:24" ht="12.75" customHeight="1" x14ac:dyDescent="0.25">
      <c r="D626" s="138"/>
      <c r="E626" s="138"/>
      <c r="L626" s="138"/>
      <c r="O626" s="138"/>
      <c r="R626" s="138"/>
      <c r="U626" s="138"/>
      <c r="X626" s="138"/>
    </row>
    <row r="627" spans="4:24" ht="12.75" customHeight="1" x14ac:dyDescent="0.25">
      <c r="D627" s="138"/>
      <c r="E627" s="138"/>
      <c r="L627" s="138"/>
      <c r="O627" s="138"/>
      <c r="R627" s="138"/>
      <c r="U627" s="138"/>
      <c r="X627" s="138"/>
    </row>
    <row r="628" spans="4:24" ht="12.75" customHeight="1" x14ac:dyDescent="0.25">
      <c r="D628" s="138"/>
      <c r="E628" s="138"/>
      <c r="L628" s="138"/>
      <c r="O628" s="138"/>
      <c r="R628" s="138"/>
      <c r="U628" s="138"/>
      <c r="X628" s="138"/>
    </row>
    <row r="629" spans="4:24" ht="12.75" customHeight="1" x14ac:dyDescent="0.25">
      <c r="D629" s="138"/>
      <c r="E629" s="138"/>
      <c r="L629" s="138"/>
      <c r="O629" s="138"/>
      <c r="R629" s="138"/>
      <c r="U629" s="138"/>
      <c r="X629" s="138"/>
    </row>
    <row r="630" spans="4:24" ht="12.75" customHeight="1" x14ac:dyDescent="0.25">
      <c r="D630" s="138"/>
      <c r="E630" s="138"/>
      <c r="L630" s="138"/>
      <c r="O630" s="138"/>
      <c r="R630" s="138"/>
      <c r="U630" s="138"/>
      <c r="X630" s="138"/>
    </row>
    <row r="631" spans="4:24" ht="12.75" customHeight="1" x14ac:dyDescent="0.25">
      <c r="D631" s="138"/>
      <c r="E631" s="138"/>
      <c r="L631" s="138"/>
      <c r="O631" s="138"/>
      <c r="R631" s="138"/>
      <c r="U631" s="138"/>
      <c r="X631" s="138"/>
    </row>
    <row r="632" spans="4:24" ht="12.75" customHeight="1" x14ac:dyDescent="0.25">
      <c r="D632" s="138"/>
      <c r="E632" s="138"/>
      <c r="L632" s="138"/>
      <c r="O632" s="138"/>
      <c r="R632" s="138"/>
      <c r="U632" s="138"/>
      <c r="X632" s="138"/>
    </row>
    <row r="633" spans="4:24" ht="12.75" customHeight="1" x14ac:dyDescent="0.25">
      <c r="D633" s="138"/>
      <c r="E633" s="138"/>
      <c r="L633" s="138"/>
      <c r="O633" s="138"/>
      <c r="R633" s="138"/>
      <c r="U633" s="138"/>
      <c r="X633" s="138"/>
    </row>
    <row r="634" spans="4:24" ht="12.75" customHeight="1" x14ac:dyDescent="0.25">
      <c r="D634" s="138"/>
      <c r="E634" s="138"/>
      <c r="L634" s="138"/>
      <c r="O634" s="138"/>
      <c r="R634" s="138"/>
      <c r="U634" s="138"/>
      <c r="X634" s="138"/>
    </row>
    <row r="635" spans="4:24" ht="12.75" customHeight="1" x14ac:dyDescent="0.25">
      <c r="D635" s="138"/>
      <c r="E635" s="138"/>
      <c r="L635" s="138"/>
      <c r="O635" s="138"/>
      <c r="R635" s="138"/>
      <c r="U635" s="138"/>
      <c r="X635" s="138"/>
    </row>
    <row r="636" spans="4:24" ht="12.75" customHeight="1" x14ac:dyDescent="0.25">
      <c r="D636" s="138"/>
      <c r="E636" s="138"/>
      <c r="L636" s="138"/>
      <c r="O636" s="138"/>
      <c r="R636" s="138"/>
      <c r="U636" s="138"/>
      <c r="X636" s="138"/>
    </row>
    <row r="637" spans="4:24" ht="12.75" customHeight="1" x14ac:dyDescent="0.25">
      <c r="D637" s="138"/>
      <c r="E637" s="138"/>
      <c r="L637" s="138"/>
      <c r="O637" s="138"/>
      <c r="R637" s="138"/>
      <c r="U637" s="138"/>
      <c r="X637" s="138"/>
    </row>
    <row r="638" spans="4:24" ht="12.75" customHeight="1" x14ac:dyDescent="0.25">
      <c r="D638" s="138"/>
      <c r="E638" s="138"/>
      <c r="L638" s="138"/>
      <c r="O638" s="138"/>
      <c r="R638" s="138"/>
      <c r="U638" s="138"/>
      <c r="X638" s="138"/>
    </row>
    <row r="639" spans="4:24" ht="12.75" customHeight="1" x14ac:dyDescent="0.25">
      <c r="D639" s="138"/>
      <c r="E639" s="138"/>
      <c r="L639" s="138"/>
      <c r="O639" s="138"/>
      <c r="R639" s="138"/>
      <c r="U639" s="138"/>
      <c r="X639" s="138"/>
    </row>
    <row r="640" spans="4:24" ht="12.75" customHeight="1" x14ac:dyDescent="0.25">
      <c r="D640" s="138"/>
      <c r="E640" s="138"/>
      <c r="L640" s="138"/>
      <c r="O640" s="138"/>
      <c r="R640" s="138"/>
      <c r="U640" s="138"/>
      <c r="X640" s="138"/>
    </row>
    <row r="641" spans="4:24" ht="12.75" customHeight="1" x14ac:dyDescent="0.25">
      <c r="D641" s="138"/>
      <c r="E641" s="138"/>
      <c r="L641" s="138"/>
      <c r="O641" s="138"/>
      <c r="R641" s="138"/>
      <c r="U641" s="138"/>
      <c r="X641" s="138"/>
    </row>
    <row r="642" spans="4:24" ht="12.75" customHeight="1" x14ac:dyDescent="0.25">
      <c r="D642" s="138"/>
      <c r="E642" s="138"/>
      <c r="L642" s="138"/>
      <c r="O642" s="138"/>
      <c r="R642" s="138"/>
      <c r="U642" s="138"/>
      <c r="X642" s="138"/>
    </row>
    <row r="643" spans="4:24" ht="12.75" customHeight="1" x14ac:dyDescent="0.25">
      <c r="D643" s="138"/>
      <c r="E643" s="138"/>
      <c r="L643" s="138"/>
      <c r="O643" s="138"/>
      <c r="R643" s="138"/>
      <c r="U643" s="138"/>
      <c r="X643" s="138"/>
    </row>
    <row r="644" spans="4:24" ht="12.75" customHeight="1" x14ac:dyDescent="0.25">
      <c r="D644" s="138"/>
      <c r="E644" s="138"/>
      <c r="L644" s="138"/>
      <c r="O644" s="138"/>
      <c r="R644" s="138"/>
      <c r="U644" s="138"/>
      <c r="X644" s="138"/>
    </row>
    <row r="645" spans="4:24" ht="12.75" customHeight="1" x14ac:dyDescent="0.25">
      <c r="D645" s="138"/>
      <c r="E645" s="138"/>
      <c r="L645" s="138"/>
      <c r="O645" s="138"/>
      <c r="R645" s="138"/>
      <c r="U645" s="138"/>
      <c r="X645" s="138"/>
    </row>
    <row r="646" spans="4:24" ht="12.75" customHeight="1" x14ac:dyDescent="0.25">
      <c r="D646" s="138"/>
      <c r="E646" s="138"/>
      <c r="L646" s="138"/>
      <c r="O646" s="138"/>
      <c r="R646" s="138"/>
      <c r="U646" s="138"/>
      <c r="X646" s="138"/>
    </row>
    <row r="647" spans="4:24" ht="12.75" customHeight="1" x14ac:dyDescent="0.25">
      <c r="D647" s="138"/>
      <c r="E647" s="138"/>
      <c r="L647" s="138"/>
      <c r="O647" s="138"/>
      <c r="R647" s="138"/>
      <c r="U647" s="138"/>
      <c r="X647" s="138"/>
    </row>
    <row r="648" spans="4:24" ht="12.75" customHeight="1" x14ac:dyDescent="0.25">
      <c r="D648" s="138"/>
      <c r="E648" s="138"/>
      <c r="L648" s="138"/>
      <c r="O648" s="138"/>
      <c r="R648" s="138"/>
      <c r="U648" s="138"/>
      <c r="X648" s="138"/>
    </row>
    <row r="649" spans="4:24" ht="12.75" customHeight="1" x14ac:dyDescent="0.25">
      <c r="D649" s="138"/>
      <c r="E649" s="138"/>
      <c r="L649" s="138"/>
      <c r="O649" s="138"/>
      <c r="R649" s="138"/>
      <c r="U649" s="138"/>
      <c r="X649" s="138"/>
    </row>
    <row r="650" spans="4:24" ht="12.75" customHeight="1" x14ac:dyDescent="0.25">
      <c r="D650" s="138"/>
      <c r="E650" s="138"/>
      <c r="L650" s="138"/>
      <c r="O650" s="138"/>
      <c r="R650" s="138"/>
      <c r="U650" s="138"/>
      <c r="X650" s="138"/>
    </row>
    <row r="651" spans="4:24" ht="12.75" customHeight="1" x14ac:dyDescent="0.25">
      <c r="D651" s="138"/>
      <c r="E651" s="138"/>
      <c r="L651" s="138"/>
      <c r="O651" s="138"/>
      <c r="R651" s="138"/>
      <c r="U651" s="138"/>
      <c r="X651" s="138"/>
    </row>
    <row r="652" spans="4:24" ht="12.75" customHeight="1" x14ac:dyDescent="0.25">
      <c r="D652" s="138"/>
      <c r="E652" s="138"/>
      <c r="L652" s="138"/>
      <c r="O652" s="138"/>
      <c r="R652" s="138"/>
      <c r="U652" s="138"/>
      <c r="X652" s="138"/>
    </row>
    <row r="653" spans="4:24" ht="12.75" customHeight="1" x14ac:dyDescent="0.25">
      <c r="D653" s="138"/>
      <c r="E653" s="138"/>
      <c r="L653" s="138"/>
      <c r="O653" s="138"/>
      <c r="R653" s="138"/>
      <c r="U653" s="138"/>
      <c r="X653" s="138"/>
    </row>
    <row r="654" spans="4:24" ht="12.75" customHeight="1" x14ac:dyDescent="0.25">
      <c r="D654" s="138"/>
      <c r="E654" s="138"/>
      <c r="L654" s="138"/>
      <c r="O654" s="138"/>
      <c r="R654" s="138"/>
      <c r="U654" s="138"/>
      <c r="X654" s="138"/>
    </row>
    <row r="655" spans="4:24" ht="12.75" customHeight="1" x14ac:dyDescent="0.25">
      <c r="D655" s="138"/>
      <c r="E655" s="138"/>
      <c r="L655" s="138"/>
      <c r="O655" s="138"/>
      <c r="R655" s="138"/>
      <c r="U655" s="138"/>
      <c r="X655" s="138"/>
    </row>
    <row r="656" spans="4:24" ht="12.75" customHeight="1" x14ac:dyDescent="0.25">
      <c r="D656" s="138"/>
      <c r="E656" s="138"/>
      <c r="L656" s="138"/>
      <c r="O656" s="138"/>
      <c r="R656" s="138"/>
      <c r="U656" s="138"/>
      <c r="X656" s="138"/>
    </row>
    <row r="657" spans="4:24" ht="12.75" customHeight="1" x14ac:dyDescent="0.25">
      <c r="D657" s="138"/>
      <c r="E657" s="138"/>
      <c r="L657" s="138"/>
      <c r="O657" s="138"/>
      <c r="R657" s="138"/>
      <c r="U657" s="138"/>
      <c r="X657" s="138"/>
    </row>
    <row r="658" spans="4:24" ht="12.75" customHeight="1" x14ac:dyDescent="0.25">
      <c r="D658" s="138"/>
      <c r="E658" s="138"/>
      <c r="L658" s="138"/>
      <c r="O658" s="138"/>
      <c r="R658" s="138"/>
      <c r="U658" s="138"/>
      <c r="X658" s="138"/>
    </row>
    <row r="659" spans="4:24" ht="12.75" customHeight="1" x14ac:dyDescent="0.25">
      <c r="D659" s="138"/>
      <c r="E659" s="138"/>
      <c r="L659" s="138"/>
      <c r="O659" s="138"/>
      <c r="R659" s="138"/>
      <c r="U659" s="138"/>
      <c r="X659" s="138"/>
    </row>
    <row r="660" spans="4:24" ht="12.75" customHeight="1" x14ac:dyDescent="0.25">
      <c r="D660" s="138"/>
      <c r="E660" s="138"/>
      <c r="L660" s="138"/>
      <c r="O660" s="138"/>
      <c r="R660" s="138"/>
      <c r="U660" s="138"/>
      <c r="X660" s="138"/>
    </row>
    <row r="661" spans="4:24" ht="12.75" customHeight="1" x14ac:dyDescent="0.25">
      <c r="D661" s="138"/>
      <c r="E661" s="138"/>
      <c r="L661" s="138"/>
      <c r="O661" s="138"/>
      <c r="R661" s="138"/>
      <c r="U661" s="138"/>
      <c r="X661" s="138"/>
    </row>
    <row r="662" spans="4:24" ht="12.75" customHeight="1" x14ac:dyDescent="0.25">
      <c r="D662" s="138"/>
      <c r="E662" s="138"/>
      <c r="L662" s="138"/>
      <c r="O662" s="138"/>
      <c r="R662" s="138"/>
      <c r="U662" s="138"/>
      <c r="X662" s="138"/>
    </row>
    <row r="663" spans="4:24" ht="12.75" customHeight="1" x14ac:dyDescent="0.25">
      <c r="D663" s="138"/>
      <c r="E663" s="138"/>
      <c r="L663" s="138"/>
      <c r="O663" s="138"/>
      <c r="R663" s="138"/>
      <c r="U663" s="138"/>
      <c r="X663" s="138"/>
    </row>
    <row r="664" spans="4:24" ht="12.75" customHeight="1" x14ac:dyDescent="0.25">
      <c r="D664" s="138"/>
      <c r="E664" s="138"/>
      <c r="L664" s="138"/>
      <c r="O664" s="138"/>
      <c r="R664" s="138"/>
      <c r="U664" s="138"/>
      <c r="X664" s="138"/>
    </row>
    <row r="665" spans="4:24" ht="12.75" customHeight="1" x14ac:dyDescent="0.25">
      <c r="D665" s="138"/>
      <c r="E665" s="138"/>
      <c r="L665" s="138"/>
      <c r="O665" s="138"/>
      <c r="R665" s="138"/>
      <c r="U665" s="138"/>
      <c r="X665" s="138"/>
    </row>
    <row r="666" spans="4:24" ht="12.75" customHeight="1" x14ac:dyDescent="0.25">
      <c r="D666" s="138"/>
      <c r="E666" s="138"/>
      <c r="L666" s="138"/>
      <c r="O666" s="138"/>
      <c r="R666" s="138"/>
      <c r="U666" s="138"/>
      <c r="X666" s="138"/>
    </row>
    <row r="667" spans="4:24" ht="12.75" customHeight="1" x14ac:dyDescent="0.25">
      <c r="D667" s="138"/>
      <c r="E667" s="138"/>
      <c r="L667" s="138"/>
      <c r="O667" s="138"/>
      <c r="R667" s="138"/>
      <c r="U667" s="138"/>
      <c r="X667" s="138"/>
    </row>
    <row r="668" spans="4:24" ht="12.75" customHeight="1" x14ac:dyDescent="0.25">
      <c r="D668" s="138"/>
      <c r="E668" s="138"/>
      <c r="L668" s="138"/>
      <c r="O668" s="138"/>
      <c r="R668" s="138"/>
      <c r="U668" s="138"/>
      <c r="X668" s="138"/>
    </row>
    <row r="669" spans="4:24" ht="12.75" customHeight="1" x14ac:dyDescent="0.25">
      <c r="D669" s="138"/>
      <c r="E669" s="138"/>
      <c r="L669" s="138"/>
      <c r="O669" s="138"/>
      <c r="R669" s="138"/>
      <c r="U669" s="138"/>
      <c r="X669" s="138"/>
    </row>
    <row r="670" spans="4:24" ht="12.75" customHeight="1" x14ac:dyDescent="0.25">
      <c r="D670" s="138"/>
      <c r="E670" s="138"/>
      <c r="L670" s="138"/>
      <c r="O670" s="138"/>
      <c r="R670" s="138"/>
      <c r="U670" s="138"/>
      <c r="X670" s="138"/>
    </row>
    <row r="671" spans="4:24" ht="12.75" customHeight="1" x14ac:dyDescent="0.25">
      <c r="D671" s="138"/>
      <c r="E671" s="138"/>
      <c r="L671" s="138"/>
      <c r="O671" s="138"/>
      <c r="R671" s="138"/>
      <c r="U671" s="138"/>
      <c r="X671" s="138"/>
    </row>
    <row r="672" spans="4:24" ht="12.75" customHeight="1" x14ac:dyDescent="0.25">
      <c r="D672" s="138"/>
      <c r="E672" s="138"/>
      <c r="L672" s="138"/>
      <c r="O672" s="138"/>
      <c r="R672" s="138"/>
      <c r="U672" s="138"/>
      <c r="X672" s="138"/>
    </row>
    <row r="673" spans="4:24" ht="12.75" customHeight="1" x14ac:dyDescent="0.25">
      <c r="D673" s="138"/>
      <c r="E673" s="138"/>
      <c r="L673" s="138"/>
      <c r="O673" s="138"/>
      <c r="R673" s="138"/>
      <c r="U673" s="138"/>
      <c r="X673" s="138"/>
    </row>
    <row r="674" spans="4:24" ht="12.75" customHeight="1" x14ac:dyDescent="0.25">
      <c r="D674" s="138"/>
      <c r="E674" s="138"/>
      <c r="L674" s="138"/>
      <c r="O674" s="138"/>
      <c r="R674" s="138"/>
      <c r="U674" s="138"/>
      <c r="X674" s="138"/>
    </row>
    <row r="675" spans="4:24" ht="12.75" customHeight="1" x14ac:dyDescent="0.25">
      <c r="D675" s="138"/>
      <c r="E675" s="138"/>
      <c r="L675" s="138"/>
      <c r="O675" s="138"/>
      <c r="R675" s="138"/>
      <c r="U675" s="138"/>
      <c r="X675" s="138"/>
    </row>
    <row r="676" spans="4:24" ht="12.75" customHeight="1" x14ac:dyDescent="0.25">
      <c r="D676" s="138"/>
      <c r="E676" s="138"/>
      <c r="L676" s="138"/>
      <c r="O676" s="138"/>
      <c r="R676" s="138"/>
      <c r="U676" s="138"/>
      <c r="X676" s="138"/>
    </row>
    <row r="677" spans="4:24" ht="12.75" customHeight="1" x14ac:dyDescent="0.25">
      <c r="D677" s="138"/>
      <c r="E677" s="138"/>
      <c r="L677" s="138"/>
      <c r="O677" s="138"/>
      <c r="R677" s="138"/>
      <c r="U677" s="138"/>
      <c r="X677" s="138"/>
    </row>
    <row r="678" spans="4:24" ht="12.75" customHeight="1" x14ac:dyDescent="0.25">
      <c r="D678" s="138"/>
      <c r="E678" s="138"/>
      <c r="L678" s="138"/>
      <c r="O678" s="138"/>
      <c r="R678" s="138"/>
      <c r="U678" s="138"/>
      <c r="X678" s="138"/>
    </row>
    <row r="679" spans="4:24" ht="12.75" customHeight="1" x14ac:dyDescent="0.25">
      <c r="D679" s="138"/>
      <c r="E679" s="138"/>
      <c r="L679" s="138"/>
      <c r="O679" s="138"/>
      <c r="R679" s="138"/>
      <c r="U679" s="138"/>
      <c r="X679" s="138"/>
    </row>
    <row r="680" spans="4:24" ht="12.75" customHeight="1" x14ac:dyDescent="0.25">
      <c r="D680" s="138"/>
      <c r="E680" s="138"/>
      <c r="L680" s="138"/>
      <c r="O680" s="138"/>
      <c r="R680" s="138"/>
      <c r="U680" s="138"/>
      <c r="X680" s="138"/>
    </row>
    <row r="681" spans="4:24" ht="12.75" customHeight="1" x14ac:dyDescent="0.25">
      <c r="D681" s="138"/>
      <c r="E681" s="138"/>
      <c r="L681" s="138"/>
      <c r="O681" s="138"/>
      <c r="R681" s="138"/>
      <c r="U681" s="138"/>
      <c r="X681" s="138"/>
    </row>
    <row r="682" spans="4:24" ht="12.75" customHeight="1" x14ac:dyDescent="0.25">
      <c r="D682" s="138"/>
      <c r="E682" s="138"/>
      <c r="L682" s="138"/>
      <c r="O682" s="138"/>
      <c r="R682" s="138"/>
      <c r="U682" s="138"/>
      <c r="X682" s="138"/>
    </row>
    <row r="683" spans="4:24" ht="12.75" customHeight="1" x14ac:dyDescent="0.25">
      <c r="D683" s="138"/>
      <c r="E683" s="138"/>
      <c r="L683" s="138"/>
      <c r="O683" s="138"/>
      <c r="R683" s="138"/>
      <c r="U683" s="138"/>
      <c r="X683" s="138"/>
    </row>
    <row r="684" spans="4:24" ht="12.75" customHeight="1" x14ac:dyDescent="0.25">
      <c r="D684" s="138"/>
      <c r="E684" s="138"/>
      <c r="L684" s="138"/>
      <c r="O684" s="138"/>
      <c r="R684" s="138"/>
      <c r="U684" s="138"/>
      <c r="X684" s="138"/>
    </row>
    <row r="685" spans="4:24" ht="12.75" customHeight="1" x14ac:dyDescent="0.25">
      <c r="D685" s="138"/>
      <c r="E685" s="138"/>
      <c r="L685" s="138"/>
      <c r="O685" s="138"/>
      <c r="R685" s="138"/>
      <c r="U685" s="138"/>
      <c r="X685" s="138"/>
    </row>
    <row r="686" spans="4:24" ht="12.75" customHeight="1" x14ac:dyDescent="0.25">
      <c r="D686" s="138"/>
      <c r="E686" s="138"/>
      <c r="L686" s="138"/>
      <c r="O686" s="138"/>
      <c r="R686" s="138"/>
      <c r="U686" s="138"/>
      <c r="X686" s="138"/>
    </row>
    <row r="687" spans="4:24" ht="12.75" customHeight="1" x14ac:dyDescent="0.25">
      <c r="D687" s="138"/>
      <c r="E687" s="138"/>
      <c r="L687" s="138"/>
      <c r="O687" s="138"/>
      <c r="R687" s="138"/>
      <c r="U687" s="138"/>
      <c r="X687" s="138"/>
    </row>
    <row r="688" spans="4:24" ht="12.75" customHeight="1" x14ac:dyDescent="0.25">
      <c r="D688" s="138"/>
      <c r="E688" s="138"/>
      <c r="L688" s="138"/>
      <c r="O688" s="138"/>
      <c r="R688" s="138"/>
      <c r="U688" s="138"/>
      <c r="X688" s="138"/>
    </row>
    <row r="689" spans="4:24" ht="12.75" customHeight="1" x14ac:dyDescent="0.25">
      <c r="D689" s="138"/>
      <c r="E689" s="138"/>
      <c r="L689" s="138"/>
      <c r="O689" s="138"/>
      <c r="R689" s="138"/>
      <c r="U689" s="138"/>
      <c r="X689" s="138"/>
    </row>
    <row r="690" spans="4:24" ht="12.75" customHeight="1" x14ac:dyDescent="0.25">
      <c r="D690" s="138"/>
      <c r="E690" s="138"/>
      <c r="L690" s="138"/>
      <c r="O690" s="138"/>
      <c r="R690" s="138"/>
      <c r="U690" s="138"/>
      <c r="X690" s="138"/>
    </row>
    <row r="691" spans="4:24" ht="12.75" customHeight="1" x14ac:dyDescent="0.25">
      <c r="D691" s="138"/>
      <c r="E691" s="138"/>
      <c r="L691" s="138"/>
      <c r="O691" s="138"/>
      <c r="R691" s="138"/>
      <c r="U691" s="138"/>
      <c r="X691" s="138"/>
    </row>
    <row r="692" spans="4:24" ht="12.75" customHeight="1" x14ac:dyDescent="0.25">
      <c r="D692" s="138"/>
      <c r="E692" s="138"/>
      <c r="L692" s="138"/>
      <c r="O692" s="138"/>
      <c r="R692" s="138"/>
      <c r="U692" s="138"/>
      <c r="X692" s="138"/>
    </row>
    <row r="693" spans="4:24" ht="12.75" customHeight="1" x14ac:dyDescent="0.25">
      <c r="D693" s="138"/>
      <c r="E693" s="138"/>
      <c r="L693" s="138"/>
      <c r="O693" s="138"/>
      <c r="R693" s="138"/>
      <c r="U693" s="138"/>
      <c r="X693" s="138"/>
    </row>
    <row r="694" spans="4:24" ht="12.75" customHeight="1" x14ac:dyDescent="0.25">
      <c r="D694" s="138"/>
      <c r="E694" s="138"/>
      <c r="L694" s="138"/>
      <c r="O694" s="138"/>
      <c r="R694" s="138"/>
      <c r="U694" s="138"/>
      <c r="X694" s="138"/>
    </row>
    <row r="695" spans="4:24" ht="12.75" customHeight="1" x14ac:dyDescent="0.25">
      <c r="D695" s="138"/>
      <c r="E695" s="138"/>
      <c r="L695" s="138"/>
      <c r="O695" s="138"/>
      <c r="R695" s="138"/>
      <c r="U695" s="138"/>
      <c r="X695" s="138"/>
    </row>
    <row r="696" spans="4:24" ht="12.75" customHeight="1" x14ac:dyDescent="0.25">
      <c r="D696" s="138"/>
      <c r="E696" s="138"/>
      <c r="L696" s="138"/>
      <c r="O696" s="138"/>
      <c r="R696" s="138"/>
      <c r="U696" s="138"/>
      <c r="X696" s="138"/>
    </row>
    <row r="697" spans="4:24" ht="12.75" customHeight="1" x14ac:dyDescent="0.25">
      <c r="D697" s="138"/>
      <c r="E697" s="138"/>
      <c r="L697" s="138"/>
      <c r="O697" s="138"/>
      <c r="R697" s="138"/>
      <c r="U697" s="138"/>
      <c r="X697" s="138"/>
    </row>
    <row r="698" spans="4:24" ht="12.75" customHeight="1" x14ac:dyDescent="0.25">
      <c r="D698" s="138"/>
      <c r="E698" s="138"/>
      <c r="L698" s="138"/>
      <c r="O698" s="138"/>
      <c r="R698" s="138"/>
      <c r="U698" s="138"/>
      <c r="X698" s="138"/>
    </row>
    <row r="699" spans="4:24" ht="12.75" customHeight="1" x14ac:dyDescent="0.25">
      <c r="D699" s="138"/>
      <c r="E699" s="138"/>
      <c r="L699" s="138"/>
      <c r="O699" s="138"/>
      <c r="R699" s="138"/>
      <c r="U699" s="138"/>
      <c r="X699" s="138"/>
    </row>
    <row r="700" spans="4:24" ht="12.75" customHeight="1" x14ac:dyDescent="0.25">
      <c r="D700" s="138"/>
      <c r="E700" s="138"/>
      <c r="L700" s="138"/>
      <c r="O700" s="138"/>
      <c r="R700" s="138"/>
      <c r="U700" s="138"/>
      <c r="X700" s="138"/>
    </row>
    <row r="701" spans="4:24" ht="12.75" customHeight="1" x14ac:dyDescent="0.25">
      <c r="D701" s="138"/>
      <c r="E701" s="138"/>
      <c r="L701" s="138"/>
      <c r="O701" s="138"/>
      <c r="R701" s="138"/>
      <c r="U701" s="138"/>
      <c r="X701" s="138"/>
    </row>
    <row r="702" spans="4:24" ht="12.75" customHeight="1" x14ac:dyDescent="0.25">
      <c r="D702" s="138"/>
      <c r="E702" s="138"/>
      <c r="L702" s="138"/>
      <c r="O702" s="138"/>
      <c r="R702" s="138"/>
      <c r="U702" s="138"/>
      <c r="X702" s="138"/>
    </row>
    <row r="703" spans="4:24" ht="12.75" customHeight="1" x14ac:dyDescent="0.25">
      <c r="D703" s="138"/>
      <c r="E703" s="138"/>
      <c r="L703" s="138"/>
      <c r="O703" s="138"/>
      <c r="R703" s="138"/>
      <c r="U703" s="138"/>
      <c r="X703" s="138"/>
    </row>
    <row r="704" spans="4:24" ht="12.75" customHeight="1" x14ac:dyDescent="0.25">
      <c r="D704" s="138"/>
      <c r="E704" s="138"/>
      <c r="L704" s="138"/>
      <c r="O704" s="138"/>
      <c r="R704" s="138"/>
      <c r="U704" s="138"/>
      <c r="X704" s="138"/>
    </row>
    <row r="705" spans="4:24" ht="12.75" customHeight="1" x14ac:dyDescent="0.25">
      <c r="D705" s="138"/>
      <c r="E705" s="138"/>
      <c r="L705" s="138"/>
      <c r="O705" s="138"/>
      <c r="R705" s="138"/>
      <c r="U705" s="138"/>
      <c r="X705" s="138"/>
    </row>
    <row r="706" spans="4:24" ht="12.75" customHeight="1" x14ac:dyDescent="0.25">
      <c r="D706" s="138"/>
      <c r="E706" s="138"/>
      <c r="L706" s="138"/>
      <c r="O706" s="138"/>
      <c r="R706" s="138"/>
      <c r="U706" s="138"/>
      <c r="X706" s="138"/>
    </row>
    <row r="707" spans="4:24" ht="12.75" customHeight="1" x14ac:dyDescent="0.25">
      <c r="D707" s="138"/>
      <c r="E707" s="138"/>
      <c r="L707" s="138"/>
      <c r="O707" s="138"/>
      <c r="R707" s="138"/>
      <c r="U707" s="138"/>
      <c r="X707" s="138"/>
    </row>
    <row r="708" spans="4:24" ht="12.75" customHeight="1" x14ac:dyDescent="0.25">
      <c r="D708" s="138"/>
      <c r="E708" s="138"/>
      <c r="L708" s="138"/>
      <c r="O708" s="138"/>
      <c r="R708" s="138"/>
      <c r="U708" s="138"/>
      <c r="X708" s="138"/>
    </row>
    <row r="709" spans="4:24" ht="12.75" customHeight="1" x14ac:dyDescent="0.25">
      <c r="D709" s="138"/>
      <c r="E709" s="138"/>
      <c r="L709" s="138"/>
      <c r="O709" s="138"/>
      <c r="R709" s="138"/>
      <c r="U709" s="138"/>
      <c r="X709" s="138"/>
    </row>
    <row r="710" spans="4:24" ht="12.75" customHeight="1" x14ac:dyDescent="0.25">
      <c r="D710" s="138"/>
      <c r="E710" s="138"/>
      <c r="L710" s="138"/>
      <c r="O710" s="138"/>
      <c r="R710" s="138"/>
      <c r="U710" s="138"/>
      <c r="X710" s="138"/>
    </row>
    <row r="711" spans="4:24" ht="12.75" customHeight="1" x14ac:dyDescent="0.25">
      <c r="D711" s="138"/>
      <c r="E711" s="138"/>
      <c r="L711" s="138"/>
      <c r="O711" s="138"/>
      <c r="R711" s="138"/>
      <c r="U711" s="138"/>
      <c r="X711" s="138"/>
    </row>
    <row r="712" spans="4:24" ht="12.75" customHeight="1" x14ac:dyDescent="0.25">
      <c r="D712" s="138"/>
      <c r="E712" s="138"/>
      <c r="L712" s="138"/>
      <c r="O712" s="138"/>
      <c r="R712" s="138"/>
      <c r="U712" s="138"/>
      <c r="X712" s="138"/>
    </row>
    <row r="713" spans="4:24" ht="12.75" customHeight="1" x14ac:dyDescent="0.25">
      <c r="D713" s="138"/>
      <c r="E713" s="138"/>
      <c r="L713" s="138"/>
      <c r="O713" s="138"/>
      <c r="R713" s="138"/>
      <c r="U713" s="138"/>
      <c r="X713" s="138"/>
    </row>
    <row r="714" spans="4:24" ht="12.75" customHeight="1" x14ac:dyDescent="0.25">
      <c r="D714" s="138"/>
      <c r="E714" s="138"/>
      <c r="L714" s="138"/>
      <c r="O714" s="138"/>
      <c r="R714" s="138"/>
      <c r="U714" s="138"/>
      <c r="X714" s="138"/>
    </row>
    <row r="715" spans="4:24" ht="12.75" customHeight="1" x14ac:dyDescent="0.25">
      <c r="D715" s="138"/>
      <c r="E715" s="138"/>
      <c r="L715" s="138"/>
      <c r="O715" s="138"/>
      <c r="R715" s="138"/>
      <c r="U715" s="138"/>
      <c r="X715" s="138"/>
    </row>
    <row r="716" spans="4:24" ht="12.75" customHeight="1" x14ac:dyDescent="0.25">
      <c r="D716" s="138"/>
      <c r="E716" s="138"/>
      <c r="L716" s="138"/>
      <c r="O716" s="138"/>
      <c r="R716" s="138"/>
      <c r="U716" s="138"/>
      <c r="X716" s="138"/>
    </row>
    <row r="717" spans="4:24" ht="12.75" customHeight="1" x14ac:dyDescent="0.25">
      <c r="D717" s="138"/>
      <c r="E717" s="138"/>
      <c r="L717" s="138"/>
      <c r="O717" s="138"/>
      <c r="R717" s="138"/>
      <c r="U717" s="138"/>
      <c r="X717" s="138"/>
    </row>
    <row r="718" spans="4:24" ht="12.75" customHeight="1" x14ac:dyDescent="0.25">
      <c r="D718" s="138"/>
      <c r="E718" s="138"/>
      <c r="L718" s="138"/>
      <c r="O718" s="138"/>
      <c r="R718" s="138"/>
      <c r="U718" s="138"/>
      <c r="X718" s="138"/>
    </row>
    <row r="719" spans="4:24" ht="12.75" customHeight="1" x14ac:dyDescent="0.25">
      <c r="D719" s="138"/>
      <c r="E719" s="138"/>
      <c r="L719" s="138"/>
      <c r="O719" s="138"/>
      <c r="R719" s="138"/>
      <c r="U719" s="138"/>
      <c r="X719" s="138"/>
    </row>
    <row r="720" spans="4:24" ht="12.75" customHeight="1" x14ac:dyDescent="0.25">
      <c r="D720" s="138"/>
      <c r="E720" s="138"/>
      <c r="L720" s="138"/>
      <c r="O720" s="138"/>
      <c r="R720" s="138"/>
      <c r="U720" s="138"/>
      <c r="X720" s="138"/>
    </row>
    <row r="721" spans="4:24" ht="12.75" customHeight="1" x14ac:dyDescent="0.25">
      <c r="D721" s="138"/>
      <c r="E721" s="138"/>
      <c r="L721" s="138"/>
      <c r="O721" s="138"/>
      <c r="R721" s="138"/>
      <c r="U721" s="138"/>
      <c r="X721" s="138"/>
    </row>
    <row r="722" spans="4:24" ht="12.75" customHeight="1" x14ac:dyDescent="0.25">
      <c r="D722" s="138"/>
      <c r="E722" s="138"/>
      <c r="L722" s="138"/>
      <c r="O722" s="138"/>
      <c r="R722" s="138"/>
      <c r="U722" s="138"/>
      <c r="X722" s="138"/>
    </row>
    <row r="723" spans="4:24" ht="12.75" customHeight="1" x14ac:dyDescent="0.25">
      <c r="D723" s="138"/>
      <c r="E723" s="138"/>
      <c r="L723" s="138"/>
      <c r="O723" s="138"/>
      <c r="R723" s="138"/>
      <c r="U723" s="138"/>
      <c r="X723" s="138"/>
    </row>
    <row r="724" spans="4:24" ht="12.75" customHeight="1" x14ac:dyDescent="0.25">
      <c r="D724" s="138"/>
      <c r="E724" s="138"/>
      <c r="L724" s="138"/>
      <c r="O724" s="138"/>
      <c r="R724" s="138"/>
      <c r="U724" s="138"/>
      <c r="X724" s="138"/>
    </row>
    <row r="725" spans="4:24" ht="12.75" customHeight="1" x14ac:dyDescent="0.25">
      <c r="D725" s="138"/>
      <c r="E725" s="138"/>
      <c r="L725" s="138"/>
      <c r="O725" s="138"/>
      <c r="R725" s="138"/>
      <c r="U725" s="138"/>
      <c r="X725" s="138"/>
    </row>
    <row r="726" spans="4:24" ht="12.75" customHeight="1" x14ac:dyDescent="0.25">
      <c r="D726" s="138"/>
      <c r="E726" s="138"/>
      <c r="L726" s="138"/>
      <c r="O726" s="138"/>
      <c r="R726" s="138"/>
      <c r="U726" s="138"/>
      <c r="X726" s="138"/>
    </row>
    <row r="727" spans="4:24" ht="12.75" customHeight="1" x14ac:dyDescent="0.25">
      <c r="D727" s="138"/>
      <c r="E727" s="138"/>
      <c r="L727" s="138"/>
      <c r="O727" s="138"/>
      <c r="R727" s="138"/>
      <c r="U727" s="138"/>
      <c r="X727" s="138"/>
    </row>
    <row r="728" spans="4:24" ht="12.75" customHeight="1" x14ac:dyDescent="0.25">
      <c r="D728" s="138"/>
      <c r="E728" s="138"/>
      <c r="L728" s="138"/>
      <c r="O728" s="138"/>
      <c r="R728" s="138"/>
      <c r="U728" s="138"/>
      <c r="X728" s="138"/>
    </row>
    <row r="729" spans="4:24" ht="12.75" customHeight="1" x14ac:dyDescent="0.25">
      <c r="D729" s="138"/>
      <c r="E729" s="138"/>
      <c r="L729" s="138"/>
      <c r="O729" s="138"/>
      <c r="R729" s="138"/>
      <c r="U729" s="138"/>
      <c r="X729" s="138"/>
    </row>
    <row r="730" spans="4:24" ht="12.75" customHeight="1" x14ac:dyDescent="0.25">
      <c r="D730" s="138"/>
      <c r="E730" s="138"/>
      <c r="L730" s="138"/>
      <c r="O730" s="138"/>
      <c r="R730" s="138"/>
      <c r="U730" s="138"/>
      <c r="X730" s="138"/>
    </row>
    <row r="731" spans="4:24" ht="12.75" customHeight="1" x14ac:dyDescent="0.25">
      <c r="D731" s="138"/>
      <c r="E731" s="138"/>
      <c r="L731" s="138"/>
      <c r="O731" s="138"/>
      <c r="R731" s="138"/>
      <c r="U731" s="138"/>
      <c r="X731" s="138"/>
    </row>
    <row r="732" spans="4:24" ht="12.75" customHeight="1" x14ac:dyDescent="0.25">
      <c r="D732" s="138"/>
      <c r="E732" s="138"/>
      <c r="L732" s="138"/>
      <c r="O732" s="138"/>
      <c r="R732" s="138"/>
      <c r="U732" s="138"/>
      <c r="X732" s="138"/>
    </row>
    <row r="733" spans="4:24" ht="12.75" customHeight="1" x14ac:dyDescent="0.25">
      <c r="D733" s="138"/>
      <c r="E733" s="138"/>
      <c r="L733" s="138"/>
      <c r="O733" s="138"/>
      <c r="R733" s="138"/>
      <c r="U733" s="138"/>
      <c r="X733" s="138"/>
    </row>
    <row r="734" spans="4:24" ht="12.75" customHeight="1" x14ac:dyDescent="0.25">
      <c r="D734" s="138"/>
      <c r="E734" s="138"/>
      <c r="L734" s="138"/>
      <c r="O734" s="138"/>
      <c r="R734" s="138"/>
      <c r="U734" s="138"/>
      <c r="X734" s="138"/>
    </row>
    <row r="735" spans="4:24" ht="12.75" customHeight="1" x14ac:dyDescent="0.25">
      <c r="D735" s="138"/>
      <c r="E735" s="138"/>
      <c r="L735" s="138"/>
      <c r="O735" s="138"/>
      <c r="R735" s="138"/>
      <c r="U735" s="138"/>
      <c r="X735" s="138"/>
    </row>
    <row r="736" spans="4:24" ht="12.75" customHeight="1" x14ac:dyDescent="0.25">
      <c r="D736" s="138"/>
      <c r="E736" s="138"/>
      <c r="L736" s="138"/>
      <c r="O736" s="138"/>
      <c r="R736" s="138"/>
      <c r="U736" s="138"/>
      <c r="X736" s="138"/>
    </row>
    <row r="737" spans="4:24" ht="12.75" customHeight="1" x14ac:dyDescent="0.25">
      <c r="D737" s="138"/>
      <c r="E737" s="138"/>
      <c r="L737" s="138"/>
      <c r="O737" s="138"/>
      <c r="R737" s="138"/>
      <c r="U737" s="138"/>
      <c r="X737" s="138"/>
    </row>
    <row r="738" spans="4:24" ht="12.75" customHeight="1" x14ac:dyDescent="0.25">
      <c r="D738" s="138"/>
      <c r="E738" s="138"/>
      <c r="L738" s="138"/>
      <c r="O738" s="138"/>
      <c r="R738" s="138"/>
      <c r="U738" s="138"/>
      <c r="X738" s="138"/>
    </row>
    <row r="739" spans="4:24" ht="12.75" customHeight="1" x14ac:dyDescent="0.25">
      <c r="D739" s="138"/>
      <c r="E739" s="138"/>
      <c r="L739" s="138"/>
      <c r="O739" s="138"/>
      <c r="R739" s="138"/>
      <c r="U739" s="138"/>
      <c r="X739" s="138"/>
    </row>
    <row r="740" spans="4:24" ht="12.75" customHeight="1" x14ac:dyDescent="0.25">
      <c r="D740" s="138"/>
      <c r="E740" s="138"/>
      <c r="L740" s="138"/>
      <c r="O740" s="138"/>
      <c r="R740" s="138"/>
      <c r="U740" s="138"/>
      <c r="X740" s="138"/>
    </row>
    <row r="741" spans="4:24" ht="12.75" customHeight="1" x14ac:dyDescent="0.25">
      <c r="D741" s="138"/>
      <c r="E741" s="138"/>
      <c r="L741" s="138"/>
      <c r="O741" s="138"/>
      <c r="R741" s="138"/>
      <c r="U741" s="138"/>
      <c r="X741" s="138"/>
    </row>
    <row r="742" spans="4:24" ht="12.75" customHeight="1" x14ac:dyDescent="0.25">
      <c r="D742" s="138"/>
      <c r="E742" s="138"/>
      <c r="L742" s="138"/>
      <c r="O742" s="138"/>
      <c r="R742" s="138"/>
      <c r="U742" s="138"/>
      <c r="X742" s="138"/>
    </row>
    <row r="743" spans="4:24" ht="12.75" customHeight="1" x14ac:dyDescent="0.25">
      <c r="D743" s="138"/>
      <c r="E743" s="138"/>
      <c r="L743" s="138"/>
      <c r="O743" s="138"/>
      <c r="R743" s="138"/>
      <c r="U743" s="138"/>
      <c r="X743" s="138"/>
    </row>
    <row r="744" spans="4:24" ht="12.75" customHeight="1" x14ac:dyDescent="0.25">
      <c r="D744" s="138"/>
      <c r="E744" s="138"/>
      <c r="L744" s="138"/>
      <c r="O744" s="138"/>
      <c r="R744" s="138"/>
      <c r="U744" s="138"/>
      <c r="X744" s="138"/>
    </row>
    <row r="745" spans="4:24" ht="12.75" customHeight="1" x14ac:dyDescent="0.25">
      <c r="D745" s="138"/>
      <c r="E745" s="138"/>
      <c r="L745" s="138"/>
      <c r="O745" s="138"/>
      <c r="R745" s="138"/>
      <c r="U745" s="138"/>
      <c r="X745" s="138"/>
    </row>
    <row r="746" spans="4:24" ht="12.75" customHeight="1" x14ac:dyDescent="0.25">
      <c r="D746" s="138"/>
      <c r="E746" s="138"/>
      <c r="L746" s="138"/>
      <c r="O746" s="138"/>
      <c r="R746" s="138"/>
      <c r="U746" s="138"/>
      <c r="X746" s="138"/>
    </row>
    <row r="747" spans="4:24" ht="12.75" customHeight="1" x14ac:dyDescent="0.25">
      <c r="D747" s="138"/>
      <c r="E747" s="138"/>
      <c r="L747" s="138"/>
      <c r="O747" s="138"/>
      <c r="R747" s="138"/>
      <c r="U747" s="138"/>
      <c r="X747" s="138"/>
    </row>
    <row r="748" spans="4:24" ht="12.75" customHeight="1" x14ac:dyDescent="0.25">
      <c r="D748" s="138"/>
      <c r="E748" s="138"/>
      <c r="L748" s="138"/>
      <c r="O748" s="138"/>
      <c r="R748" s="138"/>
      <c r="U748" s="138"/>
      <c r="X748" s="138"/>
    </row>
    <row r="749" spans="4:24" ht="12.75" customHeight="1" x14ac:dyDescent="0.25">
      <c r="D749" s="138"/>
      <c r="E749" s="138"/>
      <c r="L749" s="138"/>
      <c r="O749" s="138"/>
      <c r="R749" s="138"/>
      <c r="U749" s="138"/>
      <c r="X749" s="138"/>
    </row>
    <row r="750" spans="4:24" ht="12.75" customHeight="1" x14ac:dyDescent="0.25">
      <c r="D750" s="138"/>
      <c r="E750" s="138"/>
      <c r="L750" s="138"/>
      <c r="O750" s="138"/>
      <c r="R750" s="138"/>
      <c r="U750" s="138"/>
      <c r="X750" s="138"/>
    </row>
    <row r="751" spans="4:24" ht="12.75" customHeight="1" x14ac:dyDescent="0.25">
      <c r="D751" s="138"/>
      <c r="E751" s="138"/>
      <c r="L751" s="138"/>
      <c r="O751" s="138"/>
      <c r="R751" s="138"/>
      <c r="U751" s="138"/>
      <c r="X751" s="138"/>
    </row>
    <row r="752" spans="4:24" ht="12.75" customHeight="1" x14ac:dyDescent="0.25">
      <c r="D752" s="138"/>
      <c r="E752" s="138"/>
      <c r="L752" s="138"/>
      <c r="O752" s="138"/>
      <c r="R752" s="138"/>
      <c r="U752" s="138"/>
      <c r="X752" s="138"/>
    </row>
    <row r="753" spans="4:24" ht="12.75" customHeight="1" x14ac:dyDescent="0.25">
      <c r="D753" s="138"/>
      <c r="E753" s="138"/>
      <c r="L753" s="138"/>
      <c r="O753" s="138"/>
      <c r="R753" s="138"/>
      <c r="U753" s="138"/>
      <c r="X753" s="138"/>
    </row>
    <row r="754" spans="4:24" ht="12.75" customHeight="1" x14ac:dyDescent="0.25">
      <c r="D754" s="138"/>
      <c r="E754" s="138"/>
      <c r="L754" s="138"/>
      <c r="O754" s="138"/>
      <c r="R754" s="138"/>
      <c r="U754" s="138"/>
      <c r="X754" s="138"/>
    </row>
    <row r="755" spans="4:24" ht="12.75" customHeight="1" x14ac:dyDescent="0.25">
      <c r="D755" s="138"/>
      <c r="E755" s="138"/>
      <c r="L755" s="138"/>
      <c r="O755" s="138"/>
      <c r="R755" s="138"/>
      <c r="U755" s="138"/>
      <c r="X755" s="138"/>
    </row>
    <row r="756" spans="4:24" ht="12.75" customHeight="1" x14ac:dyDescent="0.25">
      <c r="D756" s="138"/>
      <c r="E756" s="138"/>
      <c r="L756" s="138"/>
      <c r="O756" s="138"/>
      <c r="R756" s="138"/>
      <c r="U756" s="138"/>
      <c r="X756" s="138"/>
    </row>
    <row r="757" spans="4:24" ht="12.75" customHeight="1" x14ac:dyDescent="0.25">
      <c r="D757" s="138"/>
      <c r="E757" s="138"/>
      <c r="L757" s="138"/>
      <c r="O757" s="138"/>
      <c r="R757" s="138"/>
      <c r="U757" s="138"/>
      <c r="X757" s="138"/>
    </row>
    <row r="758" spans="4:24" ht="12.75" customHeight="1" x14ac:dyDescent="0.25">
      <c r="D758" s="138"/>
      <c r="E758" s="138"/>
      <c r="L758" s="138"/>
      <c r="O758" s="138"/>
      <c r="R758" s="138"/>
      <c r="U758" s="138"/>
      <c r="X758" s="138"/>
    </row>
    <row r="759" spans="4:24" ht="12.75" customHeight="1" x14ac:dyDescent="0.25">
      <c r="D759" s="138"/>
      <c r="E759" s="138"/>
      <c r="L759" s="138"/>
      <c r="O759" s="138"/>
      <c r="R759" s="138"/>
      <c r="U759" s="138"/>
      <c r="X759" s="138"/>
    </row>
    <row r="760" spans="4:24" ht="12.75" customHeight="1" x14ac:dyDescent="0.25">
      <c r="D760" s="138"/>
      <c r="E760" s="138"/>
      <c r="L760" s="138"/>
      <c r="O760" s="138"/>
      <c r="R760" s="138"/>
      <c r="U760" s="138"/>
      <c r="X760" s="138"/>
    </row>
    <row r="761" spans="4:24" ht="12.75" customHeight="1" x14ac:dyDescent="0.25">
      <c r="D761" s="138"/>
      <c r="E761" s="138"/>
      <c r="L761" s="138"/>
      <c r="O761" s="138"/>
      <c r="R761" s="138"/>
      <c r="U761" s="138"/>
      <c r="X761" s="138"/>
    </row>
    <row r="762" spans="4:24" ht="12.75" customHeight="1" x14ac:dyDescent="0.25">
      <c r="D762" s="138"/>
      <c r="E762" s="138"/>
      <c r="L762" s="138"/>
      <c r="O762" s="138"/>
      <c r="R762" s="138"/>
      <c r="U762" s="138"/>
      <c r="X762" s="138"/>
    </row>
    <row r="763" spans="4:24" ht="12.75" customHeight="1" x14ac:dyDescent="0.25">
      <c r="D763" s="138"/>
      <c r="E763" s="138"/>
      <c r="L763" s="138"/>
      <c r="O763" s="138"/>
      <c r="R763" s="138"/>
      <c r="U763" s="138"/>
      <c r="X763" s="138"/>
    </row>
    <row r="764" spans="4:24" ht="12.75" customHeight="1" x14ac:dyDescent="0.25">
      <c r="D764" s="138"/>
      <c r="E764" s="138"/>
      <c r="L764" s="138"/>
      <c r="O764" s="138"/>
      <c r="R764" s="138"/>
      <c r="U764" s="138"/>
      <c r="X764" s="138"/>
    </row>
    <row r="765" spans="4:24" ht="12.75" customHeight="1" x14ac:dyDescent="0.25">
      <c r="D765" s="138"/>
      <c r="E765" s="138"/>
      <c r="L765" s="138"/>
      <c r="O765" s="138"/>
      <c r="R765" s="138"/>
      <c r="U765" s="138"/>
      <c r="X765" s="138"/>
    </row>
    <row r="766" spans="4:24" ht="12.75" customHeight="1" x14ac:dyDescent="0.25">
      <c r="D766" s="138"/>
      <c r="E766" s="138"/>
      <c r="L766" s="138"/>
      <c r="O766" s="138"/>
      <c r="R766" s="138"/>
      <c r="U766" s="138"/>
      <c r="X766" s="138"/>
    </row>
    <row r="767" spans="4:24" ht="12.75" customHeight="1" x14ac:dyDescent="0.25">
      <c r="D767" s="138"/>
      <c r="E767" s="138"/>
      <c r="L767" s="138"/>
      <c r="O767" s="138"/>
      <c r="R767" s="138"/>
      <c r="U767" s="138"/>
      <c r="X767" s="138"/>
    </row>
    <row r="768" spans="4:24" ht="12.75" customHeight="1" x14ac:dyDescent="0.25">
      <c r="D768" s="138"/>
      <c r="E768" s="138"/>
      <c r="L768" s="138"/>
      <c r="O768" s="138"/>
      <c r="R768" s="138"/>
      <c r="U768" s="138"/>
      <c r="X768" s="138"/>
    </row>
    <row r="769" spans="4:24" ht="12.75" customHeight="1" x14ac:dyDescent="0.25">
      <c r="D769" s="138"/>
      <c r="E769" s="138"/>
      <c r="L769" s="138"/>
      <c r="O769" s="138"/>
      <c r="R769" s="138"/>
      <c r="U769" s="138"/>
      <c r="X769" s="138"/>
    </row>
    <row r="770" spans="4:24" ht="12.75" customHeight="1" x14ac:dyDescent="0.25">
      <c r="D770" s="138"/>
      <c r="E770" s="138"/>
      <c r="L770" s="138"/>
      <c r="O770" s="138"/>
      <c r="R770" s="138"/>
      <c r="U770" s="138"/>
      <c r="X770" s="138"/>
    </row>
    <row r="771" spans="4:24" ht="12.75" customHeight="1" x14ac:dyDescent="0.25">
      <c r="D771" s="138"/>
      <c r="E771" s="138"/>
      <c r="L771" s="138"/>
      <c r="O771" s="138"/>
      <c r="R771" s="138"/>
      <c r="U771" s="138"/>
      <c r="X771" s="138"/>
    </row>
    <row r="772" spans="4:24" ht="12.75" customHeight="1" x14ac:dyDescent="0.25">
      <c r="D772" s="138"/>
      <c r="E772" s="138"/>
      <c r="L772" s="138"/>
      <c r="O772" s="138"/>
      <c r="R772" s="138"/>
      <c r="U772" s="138"/>
      <c r="X772" s="138"/>
    </row>
    <row r="773" spans="4:24" ht="12.75" customHeight="1" x14ac:dyDescent="0.25">
      <c r="D773" s="138"/>
      <c r="E773" s="138"/>
      <c r="L773" s="138"/>
      <c r="O773" s="138"/>
      <c r="R773" s="138"/>
      <c r="U773" s="138"/>
      <c r="X773" s="138"/>
    </row>
    <row r="774" spans="4:24" ht="12.75" customHeight="1" x14ac:dyDescent="0.25">
      <c r="D774" s="138"/>
      <c r="E774" s="138"/>
      <c r="L774" s="138"/>
      <c r="O774" s="138"/>
      <c r="R774" s="138"/>
      <c r="U774" s="138"/>
      <c r="X774" s="138"/>
    </row>
    <row r="775" spans="4:24" ht="12.75" customHeight="1" x14ac:dyDescent="0.25">
      <c r="D775" s="138"/>
      <c r="E775" s="138"/>
      <c r="L775" s="138"/>
      <c r="O775" s="138"/>
      <c r="R775" s="138"/>
      <c r="U775" s="138"/>
      <c r="X775" s="138"/>
    </row>
    <row r="776" spans="4:24" ht="12.75" customHeight="1" x14ac:dyDescent="0.25">
      <c r="D776" s="138"/>
      <c r="E776" s="138"/>
      <c r="L776" s="138"/>
      <c r="O776" s="138"/>
      <c r="R776" s="138"/>
      <c r="U776" s="138"/>
      <c r="X776" s="138"/>
    </row>
    <row r="777" spans="4:24" ht="12.75" customHeight="1" x14ac:dyDescent="0.25">
      <c r="D777" s="138"/>
      <c r="E777" s="138"/>
      <c r="L777" s="138"/>
      <c r="O777" s="138"/>
      <c r="R777" s="138"/>
      <c r="U777" s="138"/>
      <c r="X777" s="138"/>
    </row>
    <row r="778" spans="4:24" ht="12.75" customHeight="1" x14ac:dyDescent="0.25">
      <c r="D778" s="138"/>
      <c r="E778" s="138"/>
      <c r="L778" s="138"/>
      <c r="O778" s="138"/>
      <c r="R778" s="138"/>
      <c r="U778" s="138"/>
      <c r="X778" s="138"/>
    </row>
    <row r="779" spans="4:24" ht="12.75" customHeight="1" x14ac:dyDescent="0.25">
      <c r="D779" s="138"/>
      <c r="E779" s="138"/>
      <c r="L779" s="138"/>
      <c r="O779" s="138"/>
      <c r="R779" s="138"/>
      <c r="U779" s="138"/>
      <c r="X779" s="138"/>
    </row>
    <row r="780" spans="4:24" ht="12.75" customHeight="1" x14ac:dyDescent="0.25">
      <c r="D780" s="138"/>
      <c r="E780" s="138"/>
      <c r="L780" s="138"/>
      <c r="O780" s="138"/>
      <c r="R780" s="138"/>
      <c r="U780" s="138"/>
      <c r="X780" s="138"/>
    </row>
    <row r="781" spans="4:24" ht="12.75" customHeight="1" x14ac:dyDescent="0.25">
      <c r="D781" s="138"/>
      <c r="E781" s="138"/>
      <c r="L781" s="138"/>
      <c r="O781" s="138"/>
      <c r="R781" s="138"/>
      <c r="U781" s="138"/>
      <c r="X781" s="138"/>
    </row>
    <row r="782" spans="4:24" ht="12.75" customHeight="1" x14ac:dyDescent="0.25">
      <c r="D782" s="138"/>
      <c r="E782" s="138"/>
      <c r="L782" s="138"/>
      <c r="O782" s="138"/>
      <c r="R782" s="138"/>
      <c r="U782" s="138"/>
      <c r="X782" s="138"/>
    </row>
    <row r="783" spans="4:24" ht="12.75" customHeight="1" x14ac:dyDescent="0.25">
      <c r="D783" s="138"/>
      <c r="E783" s="138"/>
      <c r="L783" s="138"/>
      <c r="O783" s="138"/>
      <c r="R783" s="138"/>
      <c r="U783" s="138"/>
      <c r="X783" s="138"/>
    </row>
    <row r="784" spans="4:24" ht="12.75" customHeight="1" x14ac:dyDescent="0.25">
      <c r="D784" s="138"/>
      <c r="E784" s="138"/>
      <c r="L784" s="138"/>
      <c r="O784" s="138"/>
      <c r="R784" s="138"/>
      <c r="U784" s="138"/>
      <c r="X784" s="138"/>
    </row>
    <row r="785" spans="4:24" ht="12.75" customHeight="1" x14ac:dyDescent="0.25">
      <c r="D785" s="138"/>
      <c r="E785" s="138"/>
      <c r="L785" s="138"/>
      <c r="O785" s="138"/>
      <c r="R785" s="138"/>
      <c r="U785" s="138"/>
      <c r="X785" s="138"/>
    </row>
    <row r="786" spans="4:24" ht="12.75" customHeight="1" x14ac:dyDescent="0.25">
      <c r="D786" s="138"/>
      <c r="E786" s="138"/>
      <c r="L786" s="138"/>
      <c r="O786" s="138"/>
      <c r="R786" s="138"/>
      <c r="U786" s="138"/>
      <c r="X786" s="138"/>
    </row>
    <row r="787" spans="4:24" ht="12.75" customHeight="1" x14ac:dyDescent="0.25">
      <c r="D787" s="138"/>
      <c r="E787" s="138"/>
      <c r="L787" s="138"/>
      <c r="O787" s="138"/>
      <c r="R787" s="138"/>
      <c r="U787" s="138"/>
      <c r="X787" s="138"/>
    </row>
    <row r="788" spans="4:24" ht="12.75" customHeight="1" x14ac:dyDescent="0.25">
      <c r="D788" s="138"/>
      <c r="E788" s="138"/>
      <c r="L788" s="138"/>
      <c r="O788" s="138"/>
      <c r="R788" s="138"/>
      <c r="U788" s="138"/>
      <c r="X788" s="138"/>
    </row>
    <row r="789" spans="4:24" ht="12.75" customHeight="1" x14ac:dyDescent="0.25">
      <c r="D789" s="138"/>
      <c r="E789" s="138"/>
      <c r="L789" s="138"/>
      <c r="O789" s="138"/>
      <c r="R789" s="138"/>
      <c r="U789" s="138"/>
      <c r="X789" s="138"/>
    </row>
    <row r="790" spans="4:24" ht="12.75" customHeight="1" x14ac:dyDescent="0.25">
      <c r="D790" s="138"/>
      <c r="E790" s="138"/>
      <c r="L790" s="138"/>
      <c r="O790" s="138"/>
      <c r="R790" s="138"/>
      <c r="U790" s="138"/>
      <c r="X790" s="138"/>
    </row>
    <row r="791" spans="4:24" ht="12.75" customHeight="1" x14ac:dyDescent="0.25">
      <c r="D791" s="138"/>
      <c r="E791" s="138"/>
      <c r="L791" s="138"/>
      <c r="O791" s="138"/>
      <c r="R791" s="138"/>
      <c r="U791" s="138"/>
      <c r="X791" s="138"/>
    </row>
    <row r="792" spans="4:24" ht="12.75" customHeight="1" x14ac:dyDescent="0.25">
      <c r="D792" s="138"/>
      <c r="E792" s="138"/>
      <c r="L792" s="138"/>
      <c r="O792" s="138"/>
      <c r="R792" s="138"/>
      <c r="U792" s="138"/>
      <c r="X792" s="138"/>
    </row>
    <row r="793" spans="4:24" ht="12.75" customHeight="1" x14ac:dyDescent="0.25">
      <c r="D793" s="138"/>
      <c r="E793" s="138"/>
      <c r="L793" s="138"/>
      <c r="O793" s="138"/>
      <c r="R793" s="138"/>
      <c r="U793" s="138"/>
      <c r="X793" s="138"/>
    </row>
    <row r="794" spans="4:24" ht="12.75" customHeight="1" x14ac:dyDescent="0.25">
      <c r="D794" s="138"/>
      <c r="E794" s="138"/>
      <c r="L794" s="138"/>
      <c r="O794" s="138"/>
      <c r="R794" s="138"/>
      <c r="U794" s="138"/>
      <c r="X794" s="138"/>
    </row>
    <row r="795" spans="4:24" ht="12.75" customHeight="1" x14ac:dyDescent="0.25">
      <c r="D795" s="138"/>
      <c r="E795" s="138"/>
      <c r="L795" s="138"/>
      <c r="O795" s="138"/>
      <c r="R795" s="138"/>
      <c r="U795" s="138"/>
      <c r="X795" s="138"/>
    </row>
    <row r="796" spans="4:24" ht="12.75" customHeight="1" x14ac:dyDescent="0.25">
      <c r="D796" s="138"/>
      <c r="E796" s="138"/>
      <c r="L796" s="138"/>
      <c r="O796" s="138"/>
      <c r="R796" s="138"/>
      <c r="U796" s="138"/>
      <c r="X796" s="138"/>
    </row>
    <row r="797" spans="4:24" ht="12.75" customHeight="1" x14ac:dyDescent="0.25">
      <c r="D797" s="138"/>
      <c r="E797" s="138"/>
      <c r="L797" s="138"/>
      <c r="O797" s="138"/>
      <c r="R797" s="138"/>
      <c r="U797" s="138"/>
      <c r="X797" s="138"/>
    </row>
    <row r="798" spans="4:24" ht="12.75" customHeight="1" x14ac:dyDescent="0.25">
      <c r="D798" s="138"/>
      <c r="E798" s="138"/>
      <c r="L798" s="138"/>
      <c r="O798" s="138"/>
      <c r="R798" s="138"/>
      <c r="U798" s="138"/>
      <c r="X798" s="138"/>
    </row>
    <row r="799" spans="4:24" ht="12.75" customHeight="1" x14ac:dyDescent="0.25">
      <c r="D799" s="138"/>
      <c r="E799" s="138"/>
      <c r="L799" s="138"/>
      <c r="O799" s="138"/>
      <c r="R799" s="138"/>
      <c r="U799" s="138"/>
      <c r="X799" s="138"/>
    </row>
    <row r="800" spans="4:24" ht="12.75" customHeight="1" x14ac:dyDescent="0.25">
      <c r="D800" s="138"/>
      <c r="E800" s="138"/>
      <c r="L800" s="138"/>
      <c r="O800" s="138"/>
      <c r="R800" s="138"/>
      <c r="U800" s="138"/>
      <c r="X800" s="138"/>
    </row>
    <row r="801" spans="4:24" ht="12.75" customHeight="1" x14ac:dyDescent="0.25">
      <c r="D801" s="138"/>
      <c r="E801" s="138"/>
      <c r="L801" s="138"/>
      <c r="O801" s="138"/>
      <c r="R801" s="138"/>
      <c r="U801" s="138"/>
      <c r="X801" s="138"/>
    </row>
    <row r="802" spans="4:24" ht="12.75" customHeight="1" x14ac:dyDescent="0.25">
      <c r="D802" s="138"/>
      <c r="E802" s="138"/>
      <c r="L802" s="138"/>
      <c r="O802" s="138"/>
      <c r="R802" s="138"/>
      <c r="U802" s="138"/>
      <c r="X802" s="138"/>
    </row>
    <row r="803" spans="4:24" ht="12.75" customHeight="1" x14ac:dyDescent="0.25">
      <c r="D803" s="138"/>
      <c r="E803" s="138"/>
      <c r="L803" s="138"/>
      <c r="O803" s="138"/>
      <c r="R803" s="138"/>
      <c r="U803" s="138"/>
      <c r="X803" s="138"/>
    </row>
    <row r="804" spans="4:24" ht="12.75" customHeight="1" x14ac:dyDescent="0.25">
      <c r="D804" s="138"/>
      <c r="E804" s="138"/>
      <c r="L804" s="138"/>
      <c r="O804" s="138"/>
      <c r="R804" s="138"/>
      <c r="U804" s="138"/>
      <c r="X804" s="138"/>
    </row>
    <row r="805" spans="4:24" ht="12.75" customHeight="1" x14ac:dyDescent="0.25">
      <c r="D805" s="138"/>
      <c r="E805" s="138"/>
      <c r="L805" s="138"/>
      <c r="O805" s="138"/>
      <c r="R805" s="138"/>
      <c r="U805" s="138"/>
      <c r="X805" s="138"/>
    </row>
    <row r="806" spans="4:24" ht="12.75" customHeight="1" x14ac:dyDescent="0.25">
      <c r="D806" s="138"/>
      <c r="E806" s="138"/>
      <c r="L806" s="138"/>
      <c r="O806" s="138"/>
      <c r="R806" s="138"/>
      <c r="U806" s="138"/>
      <c r="X806" s="138"/>
    </row>
    <row r="807" spans="4:24" ht="12.75" customHeight="1" x14ac:dyDescent="0.25">
      <c r="D807" s="138"/>
      <c r="E807" s="138"/>
      <c r="L807" s="138"/>
      <c r="O807" s="138"/>
      <c r="R807" s="138"/>
      <c r="U807" s="138"/>
      <c r="X807" s="138"/>
    </row>
    <row r="808" spans="4:24" ht="12.75" customHeight="1" x14ac:dyDescent="0.25">
      <c r="D808" s="138"/>
      <c r="E808" s="138"/>
      <c r="L808" s="138"/>
      <c r="O808" s="138"/>
      <c r="R808" s="138"/>
      <c r="U808" s="138"/>
      <c r="X808" s="138"/>
    </row>
    <row r="809" spans="4:24" ht="12.75" customHeight="1" x14ac:dyDescent="0.25">
      <c r="D809" s="138"/>
      <c r="E809" s="138"/>
      <c r="L809" s="138"/>
      <c r="O809" s="138"/>
      <c r="R809" s="138"/>
      <c r="U809" s="138"/>
      <c r="X809" s="138"/>
    </row>
    <row r="810" spans="4:24" ht="12.75" customHeight="1" x14ac:dyDescent="0.25">
      <c r="D810" s="138"/>
      <c r="E810" s="138"/>
      <c r="L810" s="138"/>
      <c r="O810" s="138"/>
      <c r="R810" s="138"/>
      <c r="U810" s="138"/>
      <c r="X810" s="138"/>
    </row>
    <row r="811" spans="4:24" ht="12.75" customHeight="1" x14ac:dyDescent="0.25">
      <c r="D811" s="138"/>
      <c r="E811" s="138"/>
      <c r="L811" s="138"/>
      <c r="O811" s="138"/>
      <c r="R811" s="138"/>
      <c r="U811" s="138"/>
      <c r="X811" s="138"/>
    </row>
    <row r="812" spans="4:24" ht="12.75" customHeight="1" x14ac:dyDescent="0.25">
      <c r="D812" s="138"/>
      <c r="E812" s="138"/>
      <c r="L812" s="138"/>
      <c r="O812" s="138"/>
      <c r="R812" s="138"/>
      <c r="U812" s="138"/>
      <c r="X812" s="138"/>
    </row>
    <row r="813" spans="4:24" ht="12.75" customHeight="1" x14ac:dyDescent="0.25">
      <c r="D813" s="138"/>
      <c r="E813" s="138"/>
      <c r="L813" s="138"/>
      <c r="O813" s="138"/>
      <c r="R813" s="138"/>
      <c r="U813" s="138"/>
      <c r="X813" s="138"/>
    </row>
    <row r="814" spans="4:24" ht="12.75" customHeight="1" x14ac:dyDescent="0.25">
      <c r="D814" s="138"/>
      <c r="E814" s="138"/>
      <c r="L814" s="138"/>
      <c r="O814" s="138"/>
      <c r="R814" s="138"/>
      <c r="U814" s="138"/>
      <c r="X814" s="138"/>
    </row>
    <row r="815" spans="4:24" ht="12.75" customHeight="1" x14ac:dyDescent="0.25">
      <c r="D815" s="138"/>
      <c r="E815" s="138"/>
      <c r="L815" s="138"/>
      <c r="O815" s="138"/>
      <c r="R815" s="138"/>
      <c r="U815" s="138"/>
      <c r="X815" s="138"/>
    </row>
    <row r="816" spans="4:24" ht="12.75" customHeight="1" x14ac:dyDescent="0.25">
      <c r="D816" s="138"/>
      <c r="E816" s="138"/>
      <c r="L816" s="138"/>
      <c r="O816" s="138"/>
      <c r="R816" s="138"/>
      <c r="U816" s="138"/>
      <c r="X816" s="138"/>
    </row>
    <row r="817" spans="4:24" ht="12.75" customHeight="1" x14ac:dyDescent="0.25">
      <c r="D817" s="138"/>
      <c r="E817" s="138"/>
      <c r="L817" s="138"/>
      <c r="O817" s="138"/>
      <c r="R817" s="138"/>
      <c r="U817" s="138"/>
      <c r="X817" s="138"/>
    </row>
    <row r="818" spans="4:24" ht="12.75" customHeight="1" x14ac:dyDescent="0.25">
      <c r="D818" s="138"/>
      <c r="E818" s="138"/>
      <c r="L818" s="138"/>
      <c r="O818" s="138"/>
      <c r="R818" s="138"/>
      <c r="U818" s="138"/>
      <c r="X818" s="138"/>
    </row>
    <row r="819" spans="4:24" ht="12.75" customHeight="1" x14ac:dyDescent="0.25">
      <c r="D819" s="138"/>
      <c r="E819" s="138"/>
      <c r="L819" s="138"/>
      <c r="O819" s="138"/>
      <c r="R819" s="138"/>
      <c r="U819" s="138"/>
      <c r="X819" s="138"/>
    </row>
    <row r="820" spans="4:24" ht="12.75" customHeight="1" x14ac:dyDescent="0.25">
      <c r="D820" s="138"/>
      <c r="E820" s="138"/>
      <c r="L820" s="138"/>
      <c r="O820" s="138"/>
      <c r="R820" s="138"/>
      <c r="U820" s="138"/>
      <c r="X820" s="138"/>
    </row>
    <row r="821" spans="4:24" ht="12.75" customHeight="1" x14ac:dyDescent="0.25">
      <c r="D821" s="138"/>
      <c r="E821" s="138"/>
      <c r="L821" s="138"/>
      <c r="O821" s="138"/>
      <c r="R821" s="138"/>
      <c r="U821" s="138"/>
      <c r="X821" s="138"/>
    </row>
    <row r="822" spans="4:24" ht="12.75" customHeight="1" x14ac:dyDescent="0.25">
      <c r="D822" s="138"/>
      <c r="E822" s="138"/>
      <c r="L822" s="138"/>
      <c r="O822" s="138"/>
      <c r="R822" s="138"/>
      <c r="U822" s="138"/>
      <c r="X822" s="138"/>
    </row>
    <row r="823" spans="4:24" ht="12.75" customHeight="1" x14ac:dyDescent="0.25">
      <c r="D823" s="138"/>
      <c r="E823" s="138"/>
      <c r="L823" s="138"/>
      <c r="O823" s="138"/>
      <c r="R823" s="138"/>
      <c r="U823" s="138"/>
      <c r="X823" s="138"/>
    </row>
    <row r="824" spans="4:24" ht="12.75" customHeight="1" x14ac:dyDescent="0.25">
      <c r="D824" s="138"/>
      <c r="E824" s="138"/>
      <c r="L824" s="138"/>
      <c r="O824" s="138"/>
      <c r="R824" s="138"/>
      <c r="U824" s="138"/>
      <c r="X824" s="138"/>
    </row>
    <row r="825" spans="4:24" ht="12.75" customHeight="1" x14ac:dyDescent="0.25">
      <c r="D825" s="138"/>
      <c r="E825" s="138"/>
      <c r="L825" s="138"/>
      <c r="O825" s="138"/>
      <c r="R825" s="138"/>
      <c r="U825" s="138"/>
      <c r="X825" s="138"/>
    </row>
    <row r="826" spans="4:24" ht="12.75" customHeight="1" x14ac:dyDescent="0.25">
      <c r="D826" s="138"/>
      <c r="E826" s="138"/>
      <c r="L826" s="138"/>
      <c r="O826" s="138"/>
      <c r="R826" s="138"/>
      <c r="U826" s="138"/>
      <c r="X826" s="138"/>
    </row>
    <row r="827" spans="4:24" ht="12.75" customHeight="1" x14ac:dyDescent="0.25">
      <c r="D827" s="138"/>
      <c r="E827" s="138"/>
      <c r="L827" s="138"/>
      <c r="O827" s="138"/>
      <c r="R827" s="138"/>
      <c r="U827" s="138"/>
      <c r="X827" s="138"/>
    </row>
    <row r="828" spans="4:24" ht="12.75" customHeight="1" x14ac:dyDescent="0.25">
      <c r="D828" s="138"/>
      <c r="E828" s="138"/>
      <c r="L828" s="138"/>
      <c r="O828" s="138"/>
      <c r="R828" s="138"/>
      <c r="U828" s="138"/>
      <c r="X828" s="138"/>
    </row>
    <row r="829" spans="4:24" ht="12.75" customHeight="1" x14ac:dyDescent="0.25">
      <c r="D829" s="138"/>
      <c r="E829" s="138"/>
      <c r="L829" s="138"/>
      <c r="O829" s="138"/>
      <c r="R829" s="138"/>
      <c r="U829" s="138"/>
      <c r="X829" s="138"/>
    </row>
    <row r="830" spans="4:24" ht="12.75" customHeight="1" x14ac:dyDescent="0.25">
      <c r="D830" s="138"/>
      <c r="E830" s="138"/>
      <c r="L830" s="138"/>
      <c r="O830" s="138"/>
      <c r="R830" s="138"/>
      <c r="U830" s="138"/>
      <c r="X830" s="138"/>
    </row>
    <row r="831" spans="4:24" ht="12.75" customHeight="1" x14ac:dyDescent="0.25">
      <c r="D831" s="138"/>
      <c r="E831" s="138"/>
      <c r="L831" s="138"/>
      <c r="O831" s="138"/>
      <c r="R831" s="138"/>
      <c r="U831" s="138"/>
      <c r="X831" s="138"/>
    </row>
    <row r="832" spans="4:24" ht="12.75" customHeight="1" x14ac:dyDescent="0.25">
      <c r="D832" s="138"/>
      <c r="E832" s="138"/>
      <c r="L832" s="138"/>
      <c r="O832" s="138"/>
      <c r="R832" s="138"/>
      <c r="U832" s="138"/>
      <c r="X832" s="138"/>
    </row>
    <row r="833" spans="4:24" ht="12.75" customHeight="1" x14ac:dyDescent="0.25">
      <c r="D833" s="138"/>
      <c r="E833" s="138"/>
      <c r="L833" s="138"/>
      <c r="O833" s="138"/>
      <c r="R833" s="138"/>
      <c r="U833" s="138"/>
      <c r="X833" s="138"/>
    </row>
    <row r="834" spans="4:24" ht="12.75" customHeight="1" x14ac:dyDescent="0.25">
      <c r="D834" s="138"/>
      <c r="E834" s="138"/>
      <c r="L834" s="138"/>
      <c r="O834" s="138"/>
      <c r="R834" s="138"/>
      <c r="U834" s="138"/>
      <c r="X834" s="138"/>
    </row>
    <row r="835" spans="4:24" ht="12.75" customHeight="1" x14ac:dyDescent="0.25">
      <c r="D835" s="138"/>
      <c r="E835" s="138"/>
      <c r="L835" s="138"/>
      <c r="O835" s="138"/>
      <c r="R835" s="138"/>
      <c r="U835" s="138"/>
      <c r="X835" s="138"/>
    </row>
    <row r="836" spans="4:24" ht="12.75" customHeight="1" x14ac:dyDescent="0.25">
      <c r="D836" s="138"/>
      <c r="E836" s="138"/>
      <c r="L836" s="138"/>
      <c r="O836" s="138"/>
      <c r="R836" s="138"/>
      <c r="U836" s="138"/>
      <c r="X836" s="138"/>
    </row>
    <row r="837" spans="4:24" ht="12.75" customHeight="1" x14ac:dyDescent="0.25">
      <c r="D837" s="138"/>
      <c r="E837" s="138"/>
      <c r="L837" s="138"/>
      <c r="O837" s="138"/>
      <c r="R837" s="138"/>
      <c r="U837" s="138"/>
      <c r="X837" s="138"/>
    </row>
    <row r="838" spans="4:24" ht="12.75" customHeight="1" x14ac:dyDescent="0.25">
      <c r="D838" s="138"/>
      <c r="E838" s="138"/>
      <c r="L838" s="138"/>
      <c r="O838" s="138"/>
      <c r="R838" s="138"/>
      <c r="U838" s="138"/>
      <c r="X838" s="138"/>
    </row>
    <row r="839" spans="4:24" ht="12.75" customHeight="1" x14ac:dyDescent="0.25">
      <c r="D839" s="138"/>
      <c r="E839" s="138"/>
      <c r="L839" s="138"/>
      <c r="O839" s="138"/>
      <c r="R839" s="138"/>
      <c r="U839" s="138"/>
      <c r="X839" s="138"/>
    </row>
    <row r="840" spans="4:24" ht="12.75" customHeight="1" x14ac:dyDescent="0.25">
      <c r="D840" s="138"/>
      <c r="E840" s="138"/>
      <c r="L840" s="138"/>
      <c r="O840" s="138"/>
      <c r="R840" s="138"/>
      <c r="U840" s="138"/>
      <c r="X840" s="138"/>
    </row>
    <row r="841" spans="4:24" ht="12.75" customHeight="1" x14ac:dyDescent="0.25">
      <c r="D841" s="138"/>
      <c r="E841" s="138"/>
      <c r="L841" s="138"/>
      <c r="O841" s="138"/>
      <c r="R841" s="138"/>
      <c r="U841" s="138"/>
      <c r="X841" s="138"/>
    </row>
    <row r="842" spans="4:24" ht="12.75" customHeight="1" x14ac:dyDescent="0.25">
      <c r="D842" s="138"/>
      <c r="E842" s="138"/>
      <c r="L842" s="138"/>
      <c r="O842" s="138"/>
      <c r="R842" s="138"/>
      <c r="U842" s="138"/>
      <c r="X842" s="138"/>
    </row>
    <row r="843" spans="4:24" ht="12.75" customHeight="1" x14ac:dyDescent="0.25">
      <c r="D843" s="138"/>
      <c r="E843" s="138"/>
      <c r="L843" s="138"/>
      <c r="O843" s="138"/>
      <c r="R843" s="138"/>
      <c r="U843" s="138"/>
      <c r="X843" s="138"/>
    </row>
    <row r="844" spans="4:24" ht="12.75" customHeight="1" x14ac:dyDescent="0.25">
      <c r="D844" s="138"/>
      <c r="E844" s="138"/>
      <c r="L844" s="138"/>
      <c r="O844" s="138"/>
      <c r="R844" s="138"/>
      <c r="U844" s="138"/>
      <c r="X844" s="138"/>
    </row>
    <row r="845" spans="4:24" ht="12.75" customHeight="1" x14ac:dyDescent="0.25">
      <c r="D845" s="138"/>
      <c r="E845" s="138"/>
      <c r="L845" s="138"/>
      <c r="O845" s="138"/>
      <c r="R845" s="138"/>
      <c r="U845" s="138"/>
      <c r="X845" s="138"/>
    </row>
    <row r="846" spans="4:24" ht="12.75" customHeight="1" x14ac:dyDescent="0.25">
      <c r="D846" s="138"/>
      <c r="E846" s="138"/>
      <c r="L846" s="138"/>
      <c r="O846" s="138"/>
      <c r="R846" s="138"/>
      <c r="U846" s="138"/>
      <c r="X846" s="138"/>
    </row>
    <row r="847" spans="4:24" ht="12.75" customHeight="1" x14ac:dyDescent="0.25">
      <c r="D847" s="138"/>
      <c r="E847" s="138"/>
      <c r="L847" s="138"/>
      <c r="O847" s="138"/>
      <c r="R847" s="138"/>
      <c r="U847" s="138"/>
      <c r="X847" s="138"/>
    </row>
    <row r="848" spans="4:24" ht="12.75" customHeight="1" x14ac:dyDescent="0.25">
      <c r="D848" s="138"/>
      <c r="E848" s="138"/>
      <c r="L848" s="138"/>
      <c r="O848" s="138"/>
      <c r="R848" s="138"/>
      <c r="U848" s="138"/>
      <c r="X848" s="138"/>
    </row>
    <row r="849" spans="4:24" ht="12.75" customHeight="1" x14ac:dyDescent="0.25">
      <c r="D849" s="138"/>
      <c r="E849" s="138"/>
      <c r="L849" s="138"/>
      <c r="O849" s="138"/>
      <c r="R849" s="138"/>
      <c r="U849" s="138"/>
      <c r="X849" s="138"/>
    </row>
    <row r="850" spans="4:24" ht="12.75" customHeight="1" x14ac:dyDescent="0.25">
      <c r="D850" s="138"/>
      <c r="E850" s="138"/>
      <c r="L850" s="138"/>
      <c r="O850" s="138"/>
      <c r="R850" s="138"/>
      <c r="U850" s="138"/>
      <c r="X850" s="138"/>
    </row>
    <row r="851" spans="4:24" ht="12.75" customHeight="1" x14ac:dyDescent="0.25">
      <c r="D851" s="138"/>
      <c r="E851" s="138"/>
      <c r="L851" s="138"/>
      <c r="O851" s="138"/>
      <c r="R851" s="138"/>
      <c r="U851" s="138"/>
      <c r="X851" s="138"/>
    </row>
    <row r="852" spans="4:24" ht="12.75" customHeight="1" x14ac:dyDescent="0.25">
      <c r="D852" s="138"/>
      <c r="E852" s="138"/>
      <c r="L852" s="138"/>
      <c r="O852" s="138"/>
      <c r="R852" s="138"/>
      <c r="U852" s="138"/>
      <c r="X852" s="138"/>
    </row>
    <row r="853" spans="4:24" ht="12.75" customHeight="1" x14ac:dyDescent="0.25">
      <c r="D853" s="138"/>
      <c r="E853" s="138"/>
      <c r="L853" s="138"/>
      <c r="O853" s="138"/>
      <c r="R853" s="138"/>
      <c r="U853" s="138"/>
      <c r="X853" s="138"/>
    </row>
    <row r="854" spans="4:24" ht="12.75" customHeight="1" x14ac:dyDescent="0.25">
      <c r="D854" s="138"/>
      <c r="E854" s="138"/>
      <c r="L854" s="138"/>
      <c r="O854" s="138"/>
      <c r="R854" s="138"/>
      <c r="U854" s="138"/>
      <c r="X854" s="138"/>
    </row>
    <row r="855" spans="4:24" ht="12.75" customHeight="1" x14ac:dyDescent="0.25">
      <c r="D855" s="138"/>
      <c r="E855" s="138"/>
      <c r="L855" s="138"/>
      <c r="O855" s="138"/>
      <c r="R855" s="138"/>
      <c r="U855" s="138"/>
      <c r="X855" s="138"/>
    </row>
    <row r="856" spans="4:24" ht="12.75" customHeight="1" x14ac:dyDescent="0.25">
      <c r="D856" s="138"/>
      <c r="E856" s="138"/>
      <c r="L856" s="138"/>
      <c r="O856" s="138"/>
      <c r="R856" s="138"/>
      <c r="U856" s="138"/>
      <c r="X856" s="138"/>
    </row>
    <row r="857" spans="4:24" ht="12.75" customHeight="1" x14ac:dyDescent="0.25">
      <c r="D857" s="138"/>
      <c r="E857" s="138"/>
      <c r="L857" s="138"/>
      <c r="O857" s="138"/>
      <c r="R857" s="138"/>
      <c r="U857" s="138"/>
      <c r="X857" s="138"/>
    </row>
    <row r="858" spans="4:24" ht="12.75" customHeight="1" x14ac:dyDescent="0.25">
      <c r="D858" s="138"/>
      <c r="E858" s="138"/>
      <c r="L858" s="138"/>
      <c r="O858" s="138"/>
      <c r="R858" s="138"/>
      <c r="U858" s="138"/>
      <c r="X858" s="138"/>
    </row>
    <row r="859" spans="4:24" ht="12.75" customHeight="1" x14ac:dyDescent="0.25">
      <c r="D859" s="138"/>
      <c r="E859" s="138"/>
      <c r="L859" s="138"/>
      <c r="O859" s="138"/>
      <c r="R859" s="138"/>
      <c r="U859" s="138"/>
      <c r="X859" s="138"/>
    </row>
    <row r="860" spans="4:24" ht="12.75" customHeight="1" x14ac:dyDescent="0.25">
      <c r="D860" s="138"/>
      <c r="E860" s="138"/>
      <c r="L860" s="138"/>
      <c r="O860" s="138"/>
      <c r="R860" s="138"/>
      <c r="U860" s="138"/>
      <c r="X860" s="138"/>
    </row>
    <row r="861" spans="4:24" ht="12.75" customHeight="1" x14ac:dyDescent="0.25">
      <c r="D861" s="138"/>
      <c r="E861" s="138"/>
      <c r="L861" s="138"/>
      <c r="O861" s="138"/>
      <c r="R861" s="138"/>
      <c r="U861" s="138"/>
      <c r="X861" s="138"/>
    </row>
    <row r="862" spans="4:24" ht="12.75" customHeight="1" x14ac:dyDescent="0.25">
      <c r="D862" s="138"/>
      <c r="E862" s="138"/>
      <c r="L862" s="138"/>
      <c r="O862" s="138"/>
      <c r="R862" s="138"/>
      <c r="U862" s="138"/>
      <c r="X862" s="138"/>
    </row>
    <row r="863" spans="4:24" ht="12.75" customHeight="1" x14ac:dyDescent="0.25">
      <c r="D863" s="138"/>
      <c r="E863" s="138"/>
      <c r="L863" s="138"/>
      <c r="O863" s="138"/>
      <c r="R863" s="138"/>
      <c r="U863" s="138"/>
      <c r="X863" s="138"/>
    </row>
    <row r="864" spans="4:24" ht="12.75" customHeight="1" x14ac:dyDescent="0.25">
      <c r="D864" s="138"/>
      <c r="E864" s="138"/>
      <c r="L864" s="138"/>
      <c r="O864" s="138"/>
      <c r="R864" s="138"/>
      <c r="U864" s="138"/>
      <c r="X864" s="138"/>
    </row>
    <row r="865" spans="4:24" ht="12.75" customHeight="1" x14ac:dyDescent="0.25">
      <c r="D865" s="138"/>
      <c r="E865" s="138"/>
      <c r="L865" s="138"/>
      <c r="O865" s="138"/>
      <c r="R865" s="138"/>
      <c r="U865" s="138"/>
      <c r="X865" s="138"/>
    </row>
    <row r="866" spans="4:24" ht="12.75" customHeight="1" x14ac:dyDescent="0.25">
      <c r="D866" s="138"/>
      <c r="E866" s="138"/>
      <c r="L866" s="138"/>
      <c r="O866" s="138"/>
      <c r="R866" s="138"/>
      <c r="U866" s="138"/>
      <c r="X866" s="138"/>
    </row>
    <row r="867" spans="4:24" ht="12.75" customHeight="1" x14ac:dyDescent="0.25">
      <c r="D867" s="138"/>
      <c r="E867" s="138"/>
      <c r="L867" s="138"/>
      <c r="O867" s="138"/>
      <c r="R867" s="138"/>
      <c r="U867" s="138"/>
      <c r="X867" s="138"/>
    </row>
    <row r="868" spans="4:24" ht="12.75" customHeight="1" x14ac:dyDescent="0.25">
      <c r="D868" s="138"/>
      <c r="E868" s="138"/>
      <c r="L868" s="138"/>
      <c r="O868" s="138"/>
      <c r="R868" s="138"/>
      <c r="U868" s="138"/>
      <c r="X868" s="138"/>
    </row>
    <row r="869" spans="4:24" ht="12.75" customHeight="1" x14ac:dyDescent="0.25">
      <c r="D869" s="138"/>
      <c r="E869" s="138"/>
      <c r="L869" s="138"/>
      <c r="O869" s="138"/>
      <c r="R869" s="138"/>
      <c r="U869" s="138"/>
      <c r="X869" s="138"/>
    </row>
    <row r="870" spans="4:24" ht="12.75" customHeight="1" x14ac:dyDescent="0.25">
      <c r="D870" s="138"/>
      <c r="E870" s="138"/>
      <c r="L870" s="138"/>
      <c r="O870" s="138"/>
      <c r="R870" s="138"/>
      <c r="U870" s="138"/>
      <c r="X870" s="138"/>
    </row>
    <row r="871" spans="4:24" ht="12.75" customHeight="1" x14ac:dyDescent="0.25">
      <c r="D871" s="138"/>
      <c r="E871" s="138"/>
      <c r="L871" s="138"/>
      <c r="O871" s="138"/>
      <c r="R871" s="138"/>
      <c r="U871" s="138"/>
      <c r="X871" s="138"/>
    </row>
    <row r="872" spans="4:24" ht="12.75" customHeight="1" x14ac:dyDescent="0.25">
      <c r="D872" s="138"/>
      <c r="E872" s="138"/>
      <c r="L872" s="138"/>
      <c r="O872" s="138"/>
      <c r="R872" s="138"/>
      <c r="U872" s="138"/>
      <c r="X872" s="138"/>
    </row>
    <row r="873" spans="4:24" ht="12.75" customHeight="1" x14ac:dyDescent="0.25">
      <c r="D873" s="138"/>
      <c r="E873" s="138"/>
      <c r="L873" s="138"/>
      <c r="O873" s="138"/>
      <c r="R873" s="138"/>
      <c r="U873" s="138"/>
      <c r="X873" s="138"/>
    </row>
    <row r="874" spans="4:24" ht="12.75" customHeight="1" x14ac:dyDescent="0.25">
      <c r="D874" s="138"/>
      <c r="E874" s="138"/>
      <c r="L874" s="138"/>
      <c r="O874" s="138"/>
      <c r="R874" s="138"/>
      <c r="U874" s="138"/>
      <c r="X874" s="138"/>
    </row>
    <row r="875" spans="4:24" ht="12.75" customHeight="1" x14ac:dyDescent="0.25">
      <c r="D875" s="138"/>
      <c r="E875" s="138"/>
      <c r="L875" s="138"/>
      <c r="O875" s="138"/>
      <c r="R875" s="138"/>
      <c r="U875" s="138"/>
      <c r="X875" s="138"/>
    </row>
    <row r="876" spans="4:24" ht="12.75" customHeight="1" x14ac:dyDescent="0.25">
      <c r="D876" s="138"/>
      <c r="E876" s="138"/>
      <c r="L876" s="138"/>
      <c r="O876" s="138"/>
      <c r="R876" s="138"/>
      <c r="U876" s="138"/>
      <c r="X876" s="138"/>
    </row>
    <row r="877" spans="4:24" ht="12.75" customHeight="1" x14ac:dyDescent="0.25">
      <c r="D877" s="138"/>
      <c r="E877" s="138"/>
      <c r="L877" s="138"/>
      <c r="O877" s="138"/>
      <c r="R877" s="138"/>
      <c r="U877" s="138"/>
      <c r="X877" s="138"/>
    </row>
    <row r="878" spans="4:24" ht="12.75" customHeight="1" x14ac:dyDescent="0.25">
      <c r="D878" s="138"/>
      <c r="E878" s="138"/>
      <c r="L878" s="138"/>
      <c r="O878" s="138"/>
      <c r="R878" s="138"/>
      <c r="U878" s="138"/>
      <c r="X878" s="138"/>
    </row>
    <row r="879" spans="4:24" ht="12.75" customHeight="1" x14ac:dyDescent="0.25">
      <c r="D879" s="138"/>
      <c r="E879" s="138"/>
      <c r="L879" s="138"/>
      <c r="O879" s="138"/>
      <c r="R879" s="138"/>
      <c r="U879" s="138"/>
      <c r="X879" s="138"/>
    </row>
    <row r="880" spans="4:24" ht="12.75" customHeight="1" x14ac:dyDescent="0.25">
      <c r="D880" s="138"/>
      <c r="E880" s="138"/>
      <c r="L880" s="138"/>
      <c r="O880" s="138"/>
      <c r="R880" s="138"/>
      <c r="U880" s="138"/>
      <c r="X880" s="138"/>
    </row>
    <row r="881" spans="4:24" ht="12.75" customHeight="1" x14ac:dyDescent="0.25">
      <c r="D881" s="138"/>
      <c r="E881" s="138"/>
      <c r="L881" s="138"/>
      <c r="O881" s="138"/>
      <c r="R881" s="138"/>
      <c r="U881" s="138"/>
      <c r="X881" s="138"/>
    </row>
    <row r="882" spans="4:24" ht="12.75" customHeight="1" x14ac:dyDescent="0.25">
      <c r="D882" s="138"/>
      <c r="E882" s="138"/>
      <c r="L882" s="138"/>
      <c r="O882" s="138"/>
      <c r="R882" s="138"/>
      <c r="U882" s="138"/>
      <c r="X882" s="138"/>
    </row>
    <row r="883" spans="4:24" ht="12.75" customHeight="1" x14ac:dyDescent="0.25">
      <c r="D883" s="138"/>
      <c r="E883" s="138"/>
      <c r="L883" s="138"/>
      <c r="O883" s="138"/>
      <c r="R883" s="138"/>
      <c r="U883" s="138"/>
      <c r="X883" s="138"/>
    </row>
    <row r="884" spans="4:24" ht="12.75" customHeight="1" x14ac:dyDescent="0.25">
      <c r="D884" s="138"/>
      <c r="E884" s="138"/>
      <c r="L884" s="138"/>
      <c r="O884" s="138"/>
      <c r="R884" s="138"/>
      <c r="U884" s="138"/>
      <c r="X884" s="138"/>
    </row>
    <row r="885" spans="4:24" ht="12.75" customHeight="1" x14ac:dyDescent="0.25">
      <c r="D885" s="138"/>
      <c r="E885" s="138"/>
      <c r="L885" s="138"/>
      <c r="O885" s="138"/>
      <c r="R885" s="138"/>
      <c r="U885" s="138"/>
      <c r="X885" s="138"/>
    </row>
    <row r="886" spans="4:24" ht="12.75" customHeight="1" x14ac:dyDescent="0.25">
      <c r="D886" s="138"/>
      <c r="E886" s="138"/>
      <c r="L886" s="138"/>
      <c r="O886" s="138"/>
      <c r="R886" s="138"/>
      <c r="U886" s="138"/>
      <c r="X886" s="138"/>
    </row>
    <row r="887" spans="4:24" ht="12.75" customHeight="1" x14ac:dyDescent="0.25">
      <c r="D887" s="138"/>
      <c r="E887" s="138"/>
      <c r="L887" s="138"/>
      <c r="O887" s="138"/>
      <c r="R887" s="138"/>
      <c r="U887" s="138"/>
      <c r="X887" s="138"/>
    </row>
    <row r="888" spans="4:24" ht="12.75" customHeight="1" x14ac:dyDescent="0.25">
      <c r="D888" s="138"/>
      <c r="E888" s="138"/>
      <c r="L888" s="138"/>
      <c r="O888" s="138"/>
      <c r="R888" s="138"/>
      <c r="U888" s="138"/>
      <c r="X888" s="138"/>
    </row>
    <row r="889" spans="4:24" ht="12.75" customHeight="1" x14ac:dyDescent="0.25">
      <c r="D889" s="138"/>
      <c r="E889" s="138"/>
      <c r="L889" s="138"/>
      <c r="O889" s="138"/>
      <c r="R889" s="138"/>
      <c r="U889" s="138"/>
      <c r="X889" s="138"/>
    </row>
    <row r="890" spans="4:24" ht="12.75" customHeight="1" x14ac:dyDescent="0.25">
      <c r="D890" s="138"/>
      <c r="E890" s="138"/>
      <c r="L890" s="138"/>
      <c r="O890" s="138"/>
      <c r="R890" s="138"/>
      <c r="U890" s="138"/>
      <c r="X890" s="138"/>
    </row>
    <row r="891" spans="4:24" ht="12.75" customHeight="1" x14ac:dyDescent="0.25">
      <c r="D891" s="138"/>
      <c r="E891" s="138"/>
      <c r="L891" s="138"/>
      <c r="O891" s="138"/>
      <c r="R891" s="138"/>
      <c r="U891" s="138"/>
      <c r="X891" s="138"/>
    </row>
    <row r="892" spans="4:24" ht="12.75" customHeight="1" x14ac:dyDescent="0.25">
      <c r="D892" s="138"/>
      <c r="E892" s="138"/>
      <c r="L892" s="138"/>
      <c r="O892" s="138"/>
      <c r="R892" s="138"/>
      <c r="U892" s="138"/>
      <c r="X892" s="138"/>
    </row>
    <row r="893" spans="4:24" ht="12.75" customHeight="1" x14ac:dyDescent="0.25">
      <c r="D893" s="138"/>
      <c r="E893" s="138"/>
      <c r="L893" s="138"/>
      <c r="O893" s="138"/>
      <c r="R893" s="138"/>
      <c r="U893" s="138"/>
      <c r="X893" s="138"/>
    </row>
    <row r="894" spans="4:24" ht="12.75" customHeight="1" x14ac:dyDescent="0.25">
      <c r="D894" s="138"/>
      <c r="E894" s="138"/>
      <c r="L894" s="138"/>
      <c r="O894" s="138"/>
      <c r="R894" s="138"/>
      <c r="U894" s="138"/>
      <c r="X894" s="138"/>
    </row>
    <row r="895" spans="4:24" ht="12.75" customHeight="1" x14ac:dyDescent="0.25">
      <c r="D895" s="138"/>
      <c r="E895" s="138"/>
      <c r="L895" s="138"/>
      <c r="O895" s="138"/>
      <c r="R895" s="138"/>
      <c r="U895" s="138"/>
      <c r="X895" s="138"/>
    </row>
    <row r="896" spans="4:24" ht="12.75" customHeight="1" x14ac:dyDescent="0.25">
      <c r="D896" s="138"/>
      <c r="E896" s="138"/>
      <c r="L896" s="138"/>
      <c r="O896" s="138"/>
      <c r="R896" s="138"/>
      <c r="U896" s="138"/>
      <c r="X896" s="138"/>
    </row>
    <row r="897" spans="4:24" ht="12.75" customHeight="1" x14ac:dyDescent="0.25">
      <c r="D897" s="138"/>
      <c r="E897" s="138"/>
      <c r="L897" s="138"/>
      <c r="O897" s="138"/>
      <c r="R897" s="138"/>
      <c r="U897" s="138"/>
      <c r="X897" s="138"/>
    </row>
    <row r="898" spans="4:24" ht="12.75" customHeight="1" x14ac:dyDescent="0.25">
      <c r="D898" s="138"/>
      <c r="E898" s="138"/>
      <c r="L898" s="138"/>
      <c r="O898" s="138"/>
      <c r="R898" s="138"/>
      <c r="U898" s="138"/>
      <c r="X898" s="138"/>
    </row>
    <row r="899" spans="4:24" ht="12.75" customHeight="1" x14ac:dyDescent="0.25">
      <c r="D899" s="138"/>
      <c r="E899" s="138"/>
      <c r="L899" s="138"/>
      <c r="O899" s="138"/>
      <c r="R899" s="138"/>
      <c r="U899" s="138"/>
      <c r="X899" s="138"/>
    </row>
    <row r="900" spans="4:24" ht="12.75" customHeight="1" x14ac:dyDescent="0.25">
      <c r="D900" s="138"/>
      <c r="E900" s="138"/>
      <c r="L900" s="138"/>
      <c r="O900" s="138"/>
      <c r="R900" s="138"/>
      <c r="U900" s="138"/>
      <c r="X900" s="138"/>
    </row>
    <row r="901" spans="4:24" ht="12.75" customHeight="1" x14ac:dyDescent="0.25">
      <c r="D901" s="138"/>
      <c r="E901" s="138"/>
      <c r="L901" s="138"/>
      <c r="O901" s="138"/>
      <c r="R901" s="138"/>
      <c r="U901" s="138"/>
      <c r="X901" s="138"/>
    </row>
    <row r="902" spans="4:24" ht="12.75" customHeight="1" x14ac:dyDescent="0.25">
      <c r="D902" s="138"/>
      <c r="E902" s="138"/>
      <c r="L902" s="138"/>
      <c r="O902" s="138"/>
      <c r="R902" s="138"/>
      <c r="U902" s="138"/>
      <c r="X902" s="138"/>
    </row>
    <row r="903" spans="4:24" ht="12.75" customHeight="1" x14ac:dyDescent="0.25">
      <c r="D903" s="138"/>
      <c r="E903" s="138"/>
      <c r="L903" s="138"/>
      <c r="O903" s="138"/>
      <c r="R903" s="138"/>
      <c r="U903" s="138"/>
      <c r="X903" s="138"/>
    </row>
    <row r="904" spans="4:24" ht="12.75" customHeight="1" x14ac:dyDescent="0.25">
      <c r="D904" s="138"/>
      <c r="E904" s="138"/>
      <c r="L904" s="138"/>
      <c r="O904" s="138"/>
      <c r="R904" s="138"/>
      <c r="U904" s="138"/>
      <c r="X904" s="138"/>
    </row>
    <row r="905" spans="4:24" ht="12.75" customHeight="1" x14ac:dyDescent="0.25">
      <c r="D905" s="138"/>
      <c r="E905" s="138"/>
      <c r="L905" s="138"/>
      <c r="O905" s="138"/>
      <c r="R905" s="138"/>
      <c r="U905" s="138"/>
      <c r="X905" s="138"/>
    </row>
    <row r="906" spans="4:24" ht="12.75" customHeight="1" x14ac:dyDescent="0.25">
      <c r="D906" s="138"/>
      <c r="E906" s="138"/>
      <c r="L906" s="138"/>
      <c r="O906" s="138"/>
      <c r="R906" s="138"/>
      <c r="U906" s="138"/>
      <c r="X906" s="138"/>
    </row>
    <row r="907" spans="4:24" ht="12.75" customHeight="1" x14ac:dyDescent="0.25">
      <c r="D907" s="138"/>
      <c r="E907" s="138"/>
      <c r="L907" s="138"/>
      <c r="O907" s="138"/>
      <c r="R907" s="138"/>
      <c r="U907" s="138"/>
      <c r="X907" s="138"/>
    </row>
    <row r="908" spans="4:24" ht="12.75" customHeight="1" x14ac:dyDescent="0.25">
      <c r="D908" s="138"/>
      <c r="E908" s="138"/>
      <c r="L908" s="138"/>
      <c r="O908" s="138"/>
      <c r="R908" s="138"/>
      <c r="U908" s="138"/>
      <c r="X908" s="138"/>
    </row>
    <row r="909" spans="4:24" ht="12.75" customHeight="1" x14ac:dyDescent="0.25">
      <c r="D909" s="138"/>
      <c r="E909" s="138"/>
      <c r="L909" s="138"/>
      <c r="O909" s="138"/>
      <c r="R909" s="138"/>
      <c r="U909" s="138"/>
      <c r="X909" s="138"/>
    </row>
    <row r="910" spans="4:24" ht="12.75" customHeight="1" x14ac:dyDescent="0.25">
      <c r="D910" s="138"/>
      <c r="E910" s="138"/>
      <c r="L910" s="138"/>
      <c r="O910" s="138"/>
      <c r="R910" s="138"/>
      <c r="U910" s="138"/>
      <c r="X910" s="138"/>
    </row>
    <row r="911" spans="4:24" ht="12.75" customHeight="1" x14ac:dyDescent="0.25">
      <c r="D911" s="138"/>
      <c r="E911" s="138"/>
      <c r="L911" s="138"/>
      <c r="O911" s="138"/>
      <c r="R911" s="138"/>
      <c r="U911" s="138"/>
      <c r="X911" s="138"/>
    </row>
    <row r="912" spans="4:24" ht="12.75" customHeight="1" x14ac:dyDescent="0.25">
      <c r="D912" s="138"/>
      <c r="E912" s="138"/>
      <c r="L912" s="138"/>
      <c r="O912" s="138"/>
      <c r="R912" s="138"/>
      <c r="U912" s="138"/>
      <c r="X912" s="138"/>
    </row>
    <row r="913" spans="4:24" ht="12.75" customHeight="1" x14ac:dyDescent="0.25">
      <c r="D913" s="138"/>
      <c r="E913" s="138"/>
      <c r="L913" s="138"/>
      <c r="O913" s="138"/>
      <c r="R913" s="138"/>
      <c r="U913" s="138"/>
      <c r="X913" s="138"/>
    </row>
    <row r="914" spans="4:24" ht="12.75" customHeight="1" x14ac:dyDescent="0.25">
      <c r="D914" s="138"/>
      <c r="E914" s="138"/>
      <c r="L914" s="138"/>
      <c r="O914" s="138"/>
      <c r="R914" s="138"/>
      <c r="U914" s="138"/>
      <c r="X914" s="138"/>
    </row>
    <row r="915" spans="4:24" ht="12.75" customHeight="1" x14ac:dyDescent="0.25">
      <c r="D915" s="138"/>
      <c r="E915" s="138"/>
      <c r="L915" s="138"/>
      <c r="O915" s="138"/>
      <c r="R915" s="138"/>
      <c r="U915" s="138"/>
      <c r="X915" s="138"/>
    </row>
    <row r="916" spans="4:24" ht="12.75" customHeight="1" x14ac:dyDescent="0.25">
      <c r="D916" s="138"/>
      <c r="E916" s="138"/>
      <c r="L916" s="138"/>
      <c r="O916" s="138"/>
      <c r="R916" s="138"/>
      <c r="U916" s="138"/>
      <c r="X916" s="138"/>
    </row>
    <row r="917" spans="4:24" ht="12.75" customHeight="1" x14ac:dyDescent="0.25">
      <c r="D917" s="138"/>
      <c r="E917" s="138"/>
      <c r="L917" s="138"/>
      <c r="O917" s="138"/>
      <c r="R917" s="138"/>
      <c r="U917" s="138"/>
      <c r="X917" s="138"/>
    </row>
    <row r="918" spans="4:24" ht="12.75" customHeight="1" x14ac:dyDescent="0.25">
      <c r="D918" s="138"/>
      <c r="E918" s="138"/>
      <c r="L918" s="138"/>
      <c r="O918" s="138"/>
      <c r="R918" s="138"/>
      <c r="U918" s="138"/>
      <c r="X918" s="138"/>
    </row>
    <row r="919" spans="4:24" ht="12.75" customHeight="1" x14ac:dyDescent="0.25">
      <c r="D919" s="138"/>
      <c r="E919" s="138"/>
      <c r="L919" s="138"/>
      <c r="O919" s="138"/>
      <c r="R919" s="138"/>
      <c r="U919" s="138"/>
      <c r="X919" s="138"/>
    </row>
    <row r="920" spans="4:24" ht="12.75" customHeight="1" x14ac:dyDescent="0.25">
      <c r="D920" s="138"/>
      <c r="E920" s="138"/>
      <c r="L920" s="138"/>
      <c r="O920" s="138"/>
      <c r="R920" s="138"/>
      <c r="U920" s="138"/>
      <c r="X920" s="138"/>
    </row>
    <row r="921" spans="4:24" ht="12.75" customHeight="1" x14ac:dyDescent="0.25">
      <c r="D921" s="138"/>
      <c r="E921" s="138"/>
      <c r="L921" s="138"/>
      <c r="O921" s="138"/>
      <c r="R921" s="138"/>
      <c r="U921" s="138"/>
      <c r="X921" s="138"/>
    </row>
    <row r="922" spans="4:24" ht="12.75" customHeight="1" x14ac:dyDescent="0.25">
      <c r="D922" s="138"/>
      <c r="E922" s="138"/>
      <c r="L922" s="138"/>
      <c r="O922" s="138"/>
      <c r="R922" s="138"/>
      <c r="U922" s="138"/>
      <c r="X922" s="138"/>
    </row>
    <row r="923" spans="4:24" ht="12.75" customHeight="1" x14ac:dyDescent="0.25">
      <c r="D923" s="138"/>
      <c r="E923" s="138"/>
      <c r="L923" s="138"/>
      <c r="O923" s="138"/>
      <c r="R923" s="138"/>
      <c r="U923" s="138"/>
      <c r="X923" s="138"/>
    </row>
    <row r="924" spans="4:24" ht="12.75" customHeight="1" x14ac:dyDescent="0.25">
      <c r="D924" s="138"/>
      <c r="E924" s="138"/>
      <c r="L924" s="138"/>
      <c r="O924" s="138"/>
      <c r="R924" s="138"/>
      <c r="U924" s="138"/>
      <c r="X924" s="138"/>
    </row>
    <row r="925" spans="4:24" ht="12.75" customHeight="1" x14ac:dyDescent="0.25">
      <c r="D925" s="138"/>
      <c r="E925" s="138"/>
      <c r="L925" s="138"/>
      <c r="O925" s="138"/>
      <c r="R925" s="138"/>
      <c r="U925" s="138"/>
      <c r="X925" s="138"/>
    </row>
    <row r="926" spans="4:24" ht="12.75" customHeight="1" x14ac:dyDescent="0.25">
      <c r="D926" s="138"/>
      <c r="E926" s="138"/>
      <c r="L926" s="138"/>
      <c r="O926" s="138"/>
      <c r="R926" s="138"/>
      <c r="U926" s="138"/>
      <c r="X926" s="138"/>
    </row>
    <row r="927" spans="4:24" ht="12.75" customHeight="1" x14ac:dyDescent="0.25">
      <c r="D927" s="138"/>
      <c r="E927" s="138"/>
      <c r="L927" s="138"/>
      <c r="O927" s="138"/>
      <c r="R927" s="138"/>
      <c r="U927" s="138"/>
      <c r="X927" s="138"/>
    </row>
    <row r="928" spans="4:24" ht="12.75" customHeight="1" x14ac:dyDescent="0.25">
      <c r="D928" s="138"/>
      <c r="E928" s="138"/>
      <c r="L928" s="138"/>
      <c r="O928" s="138"/>
      <c r="R928" s="138"/>
      <c r="U928" s="138"/>
      <c r="X928" s="138"/>
    </row>
    <row r="929" spans="4:24" ht="12.75" customHeight="1" x14ac:dyDescent="0.25">
      <c r="D929" s="138"/>
      <c r="E929" s="138"/>
      <c r="L929" s="138"/>
      <c r="O929" s="138"/>
      <c r="R929" s="138"/>
      <c r="U929" s="138"/>
      <c r="X929" s="138"/>
    </row>
    <row r="930" spans="4:24" ht="12.75" customHeight="1" x14ac:dyDescent="0.25">
      <c r="D930" s="138"/>
      <c r="E930" s="138"/>
      <c r="L930" s="138"/>
      <c r="O930" s="138"/>
      <c r="R930" s="138"/>
      <c r="U930" s="138"/>
      <c r="X930" s="138"/>
    </row>
    <row r="931" spans="4:24" ht="12.75" customHeight="1" x14ac:dyDescent="0.25">
      <c r="D931" s="138"/>
      <c r="E931" s="138"/>
      <c r="L931" s="138"/>
      <c r="O931" s="138"/>
      <c r="R931" s="138"/>
      <c r="U931" s="138"/>
      <c r="X931" s="138"/>
    </row>
    <row r="932" spans="4:24" ht="12.75" customHeight="1" x14ac:dyDescent="0.25">
      <c r="D932" s="138"/>
      <c r="E932" s="138"/>
      <c r="L932" s="138"/>
      <c r="O932" s="138"/>
      <c r="R932" s="138"/>
      <c r="U932" s="138"/>
      <c r="X932" s="138"/>
    </row>
    <row r="933" spans="4:24" ht="12.75" customHeight="1" x14ac:dyDescent="0.25">
      <c r="D933" s="138"/>
      <c r="E933" s="138"/>
      <c r="L933" s="138"/>
      <c r="O933" s="138"/>
      <c r="R933" s="138"/>
      <c r="U933" s="138"/>
      <c r="X933" s="138"/>
    </row>
    <row r="934" spans="4:24" ht="12.75" customHeight="1" x14ac:dyDescent="0.25">
      <c r="D934" s="138"/>
      <c r="E934" s="138"/>
      <c r="L934" s="138"/>
      <c r="O934" s="138"/>
      <c r="R934" s="138"/>
      <c r="U934" s="138"/>
      <c r="X934" s="138"/>
    </row>
    <row r="935" spans="4:24" ht="12.75" customHeight="1" x14ac:dyDescent="0.25">
      <c r="D935" s="138"/>
      <c r="E935" s="138"/>
      <c r="L935" s="138"/>
      <c r="O935" s="138"/>
      <c r="R935" s="138"/>
      <c r="U935" s="138"/>
      <c r="X935" s="138"/>
    </row>
    <row r="936" spans="4:24" ht="12.75" customHeight="1" x14ac:dyDescent="0.25">
      <c r="D936" s="138"/>
      <c r="E936" s="138"/>
      <c r="L936" s="138"/>
      <c r="O936" s="138"/>
      <c r="R936" s="138"/>
      <c r="U936" s="138"/>
      <c r="X936" s="138"/>
    </row>
    <row r="937" spans="4:24" ht="12.75" customHeight="1" x14ac:dyDescent="0.25">
      <c r="D937" s="138"/>
      <c r="E937" s="138"/>
      <c r="L937" s="138"/>
      <c r="O937" s="138"/>
      <c r="R937" s="138"/>
      <c r="U937" s="138"/>
      <c r="X937" s="138"/>
    </row>
    <row r="938" spans="4:24" ht="12.75" customHeight="1" x14ac:dyDescent="0.25">
      <c r="D938" s="138"/>
      <c r="E938" s="138"/>
      <c r="L938" s="138"/>
      <c r="O938" s="138"/>
      <c r="R938" s="138"/>
      <c r="U938" s="138"/>
      <c r="X938" s="138"/>
    </row>
    <row r="939" spans="4:24" ht="12.75" customHeight="1" x14ac:dyDescent="0.25">
      <c r="D939" s="138"/>
      <c r="E939" s="138"/>
      <c r="L939" s="138"/>
      <c r="O939" s="138"/>
      <c r="R939" s="138"/>
      <c r="U939" s="138"/>
      <c r="X939" s="138"/>
    </row>
    <row r="940" spans="4:24" ht="12.75" customHeight="1" x14ac:dyDescent="0.25">
      <c r="D940" s="138"/>
      <c r="E940" s="138"/>
      <c r="L940" s="138"/>
      <c r="O940" s="138"/>
      <c r="R940" s="138"/>
      <c r="U940" s="138"/>
      <c r="X940" s="138"/>
    </row>
    <row r="941" spans="4:24" ht="12.75" customHeight="1" x14ac:dyDescent="0.25">
      <c r="D941" s="138"/>
      <c r="E941" s="138"/>
      <c r="L941" s="138"/>
      <c r="O941" s="138"/>
      <c r="R941" s="138"/>
      <c r="U941" s="138"/>
      <c r="X941" s="138"/>
    </row>
    <row r="942" spans="4:24" ht="12.75" customHeight="1" x14ac:dyDescent="0.25">
      <c r="D942" s="138"/>
      <c r="E942" s="138"/>
      <c r="L942" s="138"/>
      <c r="O942" s="138"/>
      <c r="R942" s="138"/>
      <c r="U942" s="138"/>
      <c r="X942" s="138"/>
    </row>
    <row r="943" spans="4:24" ht="12.75" customHeight="1" x14ac:dyDescent="0.25">
      <c r="D943" s="138"/>
      <c r="E943" s="138"/>
      <c r="L943" s="138"/>
      <c r="O943" s="138"/>
      <c r="R943" s="138"/>
      <c r="U943" s="138"/>
      <c r="X943" s="138"/>
    </row>
    <row r="944" spans="4:24" ht="12.75" customHeight="1" x14ac:dyDescent="0.25">
      <c r="D944" s="138"/>
      <c r="E944" s="138"/>
      <c r="L944" s="138"/>
      <c r="O944" s="138"/>
      <c r="R944" s="138"/>
      <c r="U944" s="138"/>
      <c r="X944" s="138"/>
    </row>
    <row r="945" spans="4:24" ht="12.75" customHeight="1" x14ac:dyDescent="0.25">
      <c r="D945" s="138"/>
      <c r="E945" s="138"/>
      <c r="L945" s="138"/>
      <c r="O945" s="138"/>
      <c r="R945" s="138"/>
      <c r="U945" s="138"/>
      <c r="X945" s="138"/>
    </row>
    <row r="946" spans="4:24" ht="12.75" customHeight="1" x14ac:dyDescent="0.25">
      <c r="D946" s="138"/>
      <c r="E946" s="138"/>
      <c r="L946" s="138"/>
      <c r="O946" s="138"/>
      <c r="R946" s="138"/>
      <c r="U946" s="138"/>
      <c r="X946" s="138"/>
    </row>
    <row r="947" spans="4:24" ht="12.75" customHeight="1" x14ac:dyDescent="0.25">
      <c r="D947" s="138"/>
      <c r="E947" s="138"/>
      <c r="L947" s="138"/>
      <c r="O947" s="138"/>
      <c r="R947" s="138"/>
      <c r="U947" s="138"/>
      <c r="X947" s="138"/>
    </row>
    <row r="948" spans="4:24" ht="12.75" customHeight="1" x14ac:dyDescent="0.25">
      <c r="D948" s="138"/>
      <c r="E948" s="138"/>
      <c r="L948" s="138"/>
      <c r="O948" s="138"/>
      <c r="R948" s="138"/>
      <c r="U948" s="138"/>
      <c r="X948" s="138"/>
    </row>
    <row r="949" spans="4:24" ht="12.75" customHeight="1" x14ac:dyDescent="0.25">
      <c r="D949" s="138"/>
      <c r="E949" s="138"/>
      <c r="L949" s="138"/>
      <c r="O949" s="138"/>
      <c r="R949" s="138"/>
      <c r="U949" s="138"/>
      <c r="X949" s="138"/>
    </row>
    <row r="950" spans="4:24" ht="12.75" customHeight="1" x14ac:dyDescent="0.25">
      <c r="D950" s="138"/>
      <c r="E950" s="138"/>
      <c r="L950" s="138"/>
      <c r="O950" s="138"/>
      <c r="R950" s="138"/>
      <c r="U950" s="138"/>
      <c r="X950" s="138"/>
    </row>
    <row r="951" spans="4:24" ht="12.75" customHeight="1" x14ac:dyDescent="0.25">
      <c r="D951" s="138"/>
      <c r="E951" s="138"/>
      <c r="L951" s="138"/>
      <c r="O951" s="138"/>
      <c r="R951" s="138"/>
      <c r="U951" s="138"/>
      <c r="X951" s="138"/>
    </row>
    <row r="952" spans="4:24" ht="12.75" customHeight="1" x14ac:dyDescent="0.25">
      <c r="D952" s="138"/>
      <c r="E952" s="138"/>
      <c r="L952" s="138"/>
      <c r="O952" s="138"/>
      <c r="R952" s="138"/>
      <c r="U952" s="138"/>
      <c r="X952" s="138"/>
    </row>
    <row r="953" spans="4:24" ht="12.75" customHeight="1" x14ac:dyDescent="0.25">
      <c r="D953" s="138"/>
      <c r="E953" s="138"/>
      <c r="L953" s="138"/>
      <c r="O953" s="138"/>
      <c r="R953" s="138"/>
      <c r="U953" s="138"/>
      <c r="X953" s="138"/>
    </row>
    <row r="954" spans="4:24" ht="12.75" customHeight="1" x14ac:dyDescent="0.25">
      <c r="D954" s="138"/>
      <c r="E954" s="138"/>
      <c r="L954" s="138"/>
      <c r="O954" s="138"/>
      <c r="R954" s="138"/>
      <c r="U954" s="138"/>
      <c r="X954" s="138"/>
    </row>
    <row r="955" spans="4:24" ht="12.75" customHeight="1" x14ac:dyDescent="0.25">
      <c r="D955" s="138"/>
      <c r="E955" s="138"/>
      <c r="L955" s="138"/>
      <c r="O955" s="138"/>
      <c r="R955" s="138"/>
      <c r="U955" s="138"/>
      <c r="X955" s="138"/>
    </row>
    <row r="956" spans="4:24" ht="12.75" customHeight="1" x14ac:dyDescent="0.25">
      <c r="D956" s="138"/>
      <c r="E956" s="138"/>
      <c r="L956" s="138"/>
      <c r="O956" s="138"/>
      <c r="R956" s="138"/>
      <c r="U956" s="138"/>
      <c r="X956" s="138"/>
    </row>
    <row r="957" spans="4:24" ht="12.75" customHeight="1" x14ac:dyDescent="0.25">
      <c r="D957" s="138"/>
      <c r="E957" s="138"/>
      <c r="L957" s="138"/>
      <c r="O957" s="138"/>
      <c r="R957" s="138"/>
      <c r="U957" s="138"/>
      <c r="X957" s="138"/>
    </row>
    <row r="958" spans="4:24" ht="12.75" customHeight="1" x14ac:dyDescent="0.25">
      <c r="D958" s="138"/>
      <c r="E958" s="138"/>
      <c r="L958" s="138"/>
      <c r="O958" s="138"/>
      <c r="R958" s="138"/>
      <c r="U958" s="138"/>
      <c r="X958" s="138"/>
    </row>
    <row r="959" spans="4:24" ht="12.75" customHeight="1" x14ac:dyDescent="0.25">
      <c r="D959" s="138"/>
      <c r="E959" s="138"/>
      <c r="L959" s="138"/>
      <c r="O959" s="138"/>
      <c r="R959" s="138"/>
      <c r="U959" s="138"/>
      <c r="X959" s="138"/>
    </row>
    <row r="960" spans="4:24" ht="12.75" customHeight="1" x14ac:dyDescent="0.25">
      <c r="D960" s="138"/>
      <c r="E960" s="138"/>
      <c r="L960" s="138"/>
      <c r="O960" s="138"/>
      <c r="R960" s="138"/>
      <c r="U960" s="138"/>
      <c r="X960" s="138"/>
    </row>
    <row r="961" spans="4:24" ht="12.75" customHeight="1" x14ac:dyDescent="0.25">
      <c r="D961" s="138"/>
      <c r="E961" s="138"/>
      <c r="L961" s="138"/>
      <c r="O961" s="138"/>
      <c r="R961" s="138"/>
      <c r="U961" s="138"/>
      <c r="X961" s="138"/>
    </row>
    <row r="962" spans="4:24" ht="12.75" customHeight="1" x14ac:dyDescent="0.25">
      <c r="D962" s="138"/>
      <c r="E962" s="138"/>
      <c r="L962" s="138"/>
      <c r="O962" s="138"/>
      <c r="R962" s="138"/>
      <c r="U962" s="138"/>
      <c r="X962" s="138"/>
    </row>
    <row r="963" spans="4:24" ht="12.75" customHeight="1" x14ac:dyDescent="0.25">
      <c r="D963" s="138"/>
      <c r="E963" s="138"/>
      <c r="L963" s="138"/>
      <c r="O963" s="138"/>
      <c r="R963" s="138"/>
      <c r="U963" s="138"/>
      <c r="X963" s="138"/>
    </row>
    <row r="964" spans="4:24" ht="12.75" customHeight="1" x14ac:dyDescent="0.25">
      <c r="D964" s="138"/>
      <c r="E964" s="138"/>
      <c r="L964" s="138"/>
      <c r="O964" s="138"/>
      <c r="R964" s="138"/>
      <c r="U964" s="138"/>
      <c r="X964" s="138"/>
    </row>
    <row r="965" spans="4:24" ht="12.75" customHeight="1" x14ac:dyDescent="0.25">
      <c r="D965" s="138"/>
      <c r="E965" s="138"/>
      <c r="L965" s="138"/>
      <c r="O965" s="138"/>
      <c r="R965" s="138"/>
      <c r="U965" s="138"/>
      <c r="X965" s="138"/>
    </row>
    <row r="966" spans="4:24" ht="12.75" customHeight="1" x14ac:dyDescent="0.25">
      <c r="D966" s="138"/>
      <c r="E966" s="138"/>
      <c r="L966" s="138"/>
      <c r="O966" s="138"/>
      <c r="R966" s="138"/>
      <c r="U966" s="138"/>
      <c r="X966" s="138"/>
    </row>
    <row r="967" spans="4:24" ht="12.75" customHeight="1" x14ac:dyDescent="0.25">
      <c r="D967" s="138"/>
      <c r="E967" s="138"/>
      <c r="L967" s="138"/>
      <c r="O967" s="138"/>
      <c r="R967" s="138"/>
      <c r="U967" s="138"/>
      <c r="X967" s="138"/>
    </row>
    <row r="968" spans="4:24" ht="12.75" customHeight="1" x14ac:dyDescent="0.25">
      <c r="D968" s="138"/>
      <c r="E968" s="138"/>
      <c r="L968" s="138"/>
      <c r="O968" s="138"/>
      <c r="R968" s="138"/>
      <c r="U968" s="138"/>
      <c r="X968" s="138"/>
    </row>
    <row r="969" spans="4:24" ht="12.75" customHeight="1" x14ac:dyDescent="0.25">
      <c r="D969" s="138"/>
      <c r="E969" s="138"/>
      <c r="L969" s="138"/>
      <c r="O969" s="138"/>
      <c r="R969" s="138"/>
      <c r="U969" s="138"/>
      <c r="X969" s="138"/>
    </row>
    <row r="970" spans="4:24" ht="12.75" customHeight="1" x14ac:dyDescent="0.25">
      <c r="D970" s="138"/>
      <c r="E970" s="138"/>
      <c r="L970" s="138"/>
      <c r="O970" s="138"/>
      <c r="R970" s="138"/>
      <c r="U970" s="138"/>
      <c r="X970" s="138"/>
    </row>
    <row r="971" spans="4:24" ht="12.75" customHeight="1" x14ac:dyDescent="0.25">
      <c r="D971" s="138"/>
      <c r="E971" s="138"/>
      <c r="L971" s="138"/>
      <c r="O971" s="138"/>
      <c r="R971" s="138"/>
      <c r="U971" s="138"/>
      <c r="X971" s="138"/>
    </row>
    <row r="972" spans="4:24" ht="12.75" customHeight="1" x14ac:dyDescent="0.25">
      <c r="D972" s="138"/>
      <c r="E972" s="138"/>
      <c r="L972" s="138"/>
      <c r="O972" s="138"/>
      <c r="R972" s="138"/>
      <c r="U972" s="138"/>
      <c r="X972" s="138"/>
    </row>
    <row r="973" spans="4:24" ht="12.75" customHeight="1" x14ac:dyDescent="0.25">
      <c r="D973" s="138"/>
      <c r="E973" s="138"/>
      <c r="L973" s="138"/>
      <c r="O973" s="138"/>
      <c r="R973" s="138"/>
      <c r="U973" s="138"/>
      <c r="X973" s="138"/>
    </row>
    <row r="974" spans="4:24" ht="12.75" customHeight="1" x14ac:dyDescent="0.25">
      <c r="D974" s="138"/>
      <c r="E974" s="138"/>
      <c r="L974" s="138"/>
      <c r="O974" s="138"/>
      <c r="R974" s="138"/>
      <c r="U974" s="138"/>
      <c r="X974" s="138"/>
    </row>
    <row r="975" spans="4:24" ht="12.75" customHeight="1" x14ac:dyDescent="0.25">
      <c r="D975" s="138"/>
      <c r="E975" s="138"/>
      <c r="L975" s="138"/>
      <c r="O975" s="138"/>
      <c r="R975" s="138"/>
      <c r="U975" s="138"/>
      <c r="X975" s="138"/>
    </row>
    <row r="976" spans="4:24" ht="12.75" customHeight="1" x14ac:dyDescent="0.25">
      <c r="D976" s="138"/>
      <c r="E976" s="138"/>
      <c r="L976" s="138"/>
      <c r="O976" s="138"/>
      <c r="R976" s="138"/>
      <c r="U976" s="138"/>
      <c r="X976" s="138"/>
    </row>
    <row r="977" spans="4:24" ht="12.75" customHeight="1" x14ac:dyDescent="0.25">
      <c r="D977" s="138"/>
      <c r="E977" s="138"/>
      <c r="L977" s="138"/>
      <c r="O977" s="138"/>
      <c r="R977" s="138"/>
      <c r="U977" s="138"/>
      <c r="X977" s="138"/>
    </row>
    <row r="978" spans="4:24" ht="12.75" customHeight="1" x14ac:dyDescent="0.25">
      <c r="D978" s="138"/>
      <c r="E978" s="138"/>
      <c r="L978" s="138"/>
      <c r="O978" s="138"/>
      <c r="R978" s="138"/>
      <c r="U978" s="138"/>
      <c r="X978" s="138"/>
    </row>
    <row r="979" spans="4:24" ht="12.75" customHeight="1" x14ac:dyDescent="0.25">
      <c r="D979" s="138"/>
      <c r="E979" s="138"/>
      <c r="L979" s="138"/>
      <c r="O979" s="138"/>
      <c r="R979" s="138"/>
      <c r="U979" s="138"/>
      <c r="X979" s="138"/>
    </row>
    <row r="980" spans="4:24" ht="12.75" customHeight="1" x14ac:dyDescent="0.25">
      <c r="D980" s="138"/>
      <c r="E980" s="138"/>
      <c r="L980" s="138"/>
      <c r="O980" s="138"/>
      <c r="R980" s="138"/>
      <c r="U980" s="138"/>
      <c r="X980" s="138"/>
    </row>
    <row r="981" spans="4:24" ht="12.75" customHeight="1" x14ac:dyDescent="0.25">
      <c r="D981" s="138"/>
      <c r="E981" s="138"/>
      <c r="L981" s="138"/>
      <c r="O981" s="138"/>
      <c r="R981" s="138"/>
      <c r="U981" s="138"/>
      <c r="X981" s="138"/>
    </row>
    <row r="982" spans="4:24" ht="12.75" customHeight="1" x14ac:dyDescent="0.25">
      <c r="D982" s="138"/>
      <c r="E982" s="138"/>
      <c r="L982" s="138"/>
      <c r="O982" s="138"/>
      <c r="R982" s="138"/>
      <c r="U982" s="138"/>
      <c r="X982" s="138"/>
    </row>
    <row r="983" spans="4:24" ht="12.75" customHeight="1" x14ac:dyDescent="0.25">
      <c r="D983" s="138"/>
      <c r="E983" s="138"/>
      <c r="L983" s="138"/>
      <c r="O983" s="138"/>
      <c r="R983" s="138"/>
      <c r="U983" s="138"/>
      <c r="X983" s="138"/>
    </row>
    <row r="984" spans="4:24" ht="12.75" customHeight="1" x14ac:dyDescent="0.25">
      <c r="D984" s="138"/>
      <c r="E984" s="138"/>
      <c r="L984" s="138"/>
      <c r="O984" s="138"/>
      <c r="R984" s="138"/>
      <c r="U984" s="138"/>
      <c r="X984" s="138"/>
    </row>
    <row r="985" spans="4:24" ht="12.75" customHeight="1" x14ac:dyDescent="0.25">
      <c r="D985" s="138"/>
      <c r="E985" s="138"/>
      <c r="L985" s="138"/>
      <c r="O985" s="138"/>
      <c r="R985" s="138"/>
      <c r="U985" s="138"/>
      <c r="X985" s="138"/>
    </row>
    <row r="986" spans="4:24" ht="12.75" customHeight="1" x14ac:dyDescent="0.25">
      <c r="D986" s="138"/>
      <c r="E986" s="138"/>
      <c r="L986" s="138"/>
      <c r="O986" s="138"/>
      <c r="R986" s="138"/>
      <c r="U986" s="138"/>
      <c r="X986" s="138"/>
    </row>
    <row r="987" spans="4:24" ht="12.75" customHeight="1" x14ac:dyDescent="0.25">
      <c r="D987" s="138"/>
      <c r="E987" s="138"/>
      <c r="L987" s="138"/>
      <c r="O987" s="138"/>
      <c r="R987" s="138"/>
      <c r="U987" s="138"/>
      <c r="X987" s="138"/>
    </row>
    <row r="988" spans="4:24" ht="12.75" customHeight="1" x14ac:dyDescent="0.25">
      <c r="D988" s="138"/>
      <c r="E988" s="138"/>
      <c r="L988" s="138"/>
      <c r="O988" s="138"/>
      <c r="R988" s="138"/>
      <c r="U988" s="138"/>
      <c r="X988" s="138"/>
    </row>
    <row r="989" spans="4:24" ht="12.75" customHeight="1" x14ac:dyDescent="0.25">
      <c r="D989" s="138"/>
      <c r="E989" s="138"/>
      <c r="L989" s="138"/>
      <c r="O989" s="138"/>
      <c r="R989" s="138"/>
      <c r="U989" s="138"/>
      <c r="X989" s="138"/>
    </row>
    <row r="990" spans="4:24" ht="12.75" customHeight="1" x14ac:dyDescent="0.25">
      <c r="D990" s="138"/>
      <c r="E990" s="138"/>
      <c r="L990" s="138"/>
      <c r="O990" s="138"/>
      <c r="R990" s="138"/>
      <c r="U990" s="138"/>
      <c r="X990" s="138"/>
    </row>
    <row r="991" spans="4:24" ht="12.75" customHeight="1" x14ac:dyDescent="0.25">
      <c r="D991" s="138"/>
      <c r="E991" s="138"/>
      <c r="L991" s="138"/>
      <c r="O991" s="138"/>
      <c r="R991" s="138"/>
      <c r="U991" s="138"/>
      <c r="X991" s="138"/>
    </row>
    <row r="992" spans="4:24" ht="12.75" customHeight="1" x14ac:dyDescent="0.25">
      <c r="D992" s="138"/>
      <c r="E992" s="138"/>
      <c r="L992" s="138"/>
      <c r="O992" s="138"/>
      <c r="R992" s="138"/>
      <c r="U992" s="138"/>
      <c r="X992" s="138"/>
    </row>
    <row r="993" spans="4:24" ht="12.75" customHeight="1" x14ac:dyDescent="0.25">
      <c r="D993" s="138"/>
      <c r="E993" s="138"/>
      <c r="L993" s="138"/>
      <c r="O993" s="138"/>
      <c r="R993" s="138"/>
      <c r="U993" s="138"/>
      <c r="X993" s="138"/>
    </row>
    <row r="994" spans="4:24" ht="12.75" customHeight="1" x14ac:dyDescent="0.25">
      <c r="D994" s="138"/>
      <c r="E994" s="138"/>
      <c r="L994" s="138"/>
      <c r="O994" s="138"/>
      <c r="R994" s="138"/>
      <c r="U994" s="138"/>
      <c r="X994" s="138"/>
    </row>
    <row r="995" spans="4:24" ht="12.75" customHeight="1" x14ac:dyDescent="0.25">
      <c r="D995" s="138"/>
      <c r="E995" s="138"/>
      <c r="L995" s="138"/>
      <c r="O995" s="138"/>
      <c r="R995" s="138"/>
      <c r="U995" s="138"/>
      <c r="X995" s="138"/>
    </row>
    <row r="996" spans="4:24" ht="12.75" customHeight="1" x14ac:dyDescent="0.25">
      <c r="D996" s="138"/>
      <c r="E996" s="138"/>
      <c r="L996" s="138"/>
      <c r="O996" s="138"/>
      <c r="R996" s="138"/>
      <c r="U996" s="138"/>
      <c r="X996" s="138"/>
    </row>
    <row r="997" spans="4:24" ht="12.75" customHeight="1" x14ac:dyDescent="0.25">
      <c r="D997" s="138"/>
      <c r="E997" s="138"/>
      <c r="L997" s="138"/>
      <c r="O997" s="138"/>
      <c r="R997" s="138"/>
      <c r="U997" s="138"/>
      <c r="X997" s="138"/>
    </row>
    <row r="998" spans="4:24" ht="12.75" customHeight="1" x14ac:dyDescent="0.25">
      <c r="D998" s="138"/>
      <c r="E998" s="138"/>
      <c r="L998" s="138"/>
      <c r="O998" s="138"/>
      <c r="R998" s="138"/>
      <c r="U998" s="138"/>
      <c r="X998" s="138"/>
    </row>
    <row r="999" spans="4:24" ht="12.75" customHeight="1" x14ac:dyDescent="0.25">
      <c r="D999" s="138"/>
      <c r="E999" s="138"/>
      <c r="L999" s="138"/>
      <c r="O999" s="138"/>
      <c r="R999" s="138"/>
      <c r="U999" s="138"/>
      <c r="X999" s="138"/>
    </row>
    <row r="1000" spans="4:24" ht="12.75" customHeight="1" x14ac:dyDescent="0.25">
      <c r="D1000" s="138"/>
      <c r="E1000" s="138"/>
      <c r="L1000" s="138"/>
      <c r="O1000" s="138"/>
      <c r="R1000" s="138"/>
      <c r="U1000" s="138"/>
      <c r="X1000" s="138"/>
    </row>
  </sheetData>
  <pageMargins left="0.7" right="0.7" top="0.75" bottom="0.75" header="0" footer="0"/>
  <pageSetup orientation="landscape"/>
  <headerFooter>
    <oddHeader>&amp;C&amp;F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X1000"/>
  <sheetViews>
    <sheetView workbookViewId="0">
      <pane xSplit="21" ySplit="1" topLeftCell="V2" activePane="bottomRight" state="frozen"/>
      <selection pane="topRight" activeCell="V1" sqref="V1"/>
      <selection pane="bottomLeft" activeCell="A2" sqref="A2"/>
      <selection pane="bottomRight" activeCell="V2" sqref="V2"/>
    </sheetView>
  </sheetViews>
  <sheetFormatPr baseColWidth="10" defaultColWidth="14.44140625" defaultRowHeight="15" customHeight="1" x14ac:dyDescent="0.25"/>
  <cols>
    <col min="1" max="1" width="14.77734375" customWidth="1"/>
    <col min="2" max="2" width="21.6640625" customWidth="1"/>
    <col min="3" max="3" width="28.44140625" customWidth="1"/>
    <col min="4" max="4" width="7.6640625" customWidth="1"/>
    <col min="5" max="5" width="8" customWidth="1"/>
    <col min="6" max="6" width="5.33203125" customWidth="1"/>
    <col min="7" max="7" width="12.33203125" customWidth="1"/>
    <col min="8" max="8" width="18.33203125" customWidth="1"/>
    <col min="9" max="9" width="2.6640625" customWidth="1"/>
    <col min="10" max="10" width="4.109375" hidden="1" customWidth="1"/>
    <col min="11" max="11" width="10" hidden="1" customWidth="1"/>
    <col min="12" max="12" width="5.6640625" hidden="1" customWidth="1"/>
    <col min="13" max="13" width="6.6640625" hidden="1" customWidth="1"/>
    <col min="14" max="14" width="10" hidden="1" customWidth="1"/>
    <col min="15" max="15" width="7.109375" hidden="1" customWidth="1"/>
    <col min="16" max="16" width="6.6640625" hidden="1" customWidth="1"/>
    <col min="17" max="17" width="10.6640625" hidden="1" customWidth="1"/>
    <col min="18" max="19" width="6.6640625" hidden="1" customWidth="1"/>
    <col min="20" max="20" width="10.6640625" hidden="1" customWidth="1"/>
    <col min="21" max="21" width="6.44140625" hidden="1" customWidth="1"/>
    <col min="22" max="22" width="6.6640625" customWidth="1"/>
    <col min="23" max="26" width="8" customWidth="1"/>
  </cols>
  <sheetData>
    <row r="1" spans="2:24" ht="12.75" customHeight="1" x14ac:dyDescent="0.25">
      <c r="B1" s="96"/>
      <c r="C1" s="96"/>
      <c r="D1" s="97"/>
      <c r="E1" s="97"/>
      <c r="F1" s="96"/>
      <c r="G1" s="96"/>
      <c r="H1" s="96"/>
      <c r="L1" s="138"/>
      <c r="O1" s="138"/>
      <c r="R1" s="138"/>
      <c r="U1" s="138"/>
      <c r="X1" s="138"/>
    </row>
    <row r="2" spans="2:24" ht="12.75" customHeight="1" x14ac:dyDescent="0.25">
      <c r="B2" s="96"/>
      <c r="C2" s="96"/>
      <c r="D2" s="97"/>
      <c r="E2" s="97"/>
      <c r="F2" s="96"/>
      <c r="G2" s="96"/>
      <c r="H2" s="96"/>
      <c r="L2" s="138"/>
      <c r="O2" s="138"/>
      <c r="R2" s="138"/>
      <c r="U2" s="138"/>
      <c r="X2" s="138"/>
    </row>
    <row r="3" spans="2:24" ht="12.75" customHeight="1" x14ac:dyDescent="0.25">
      <c r="B3" s="96"/>
      <c r="C3" s="96"/>
      <c r="D3" s="97"/>
      <c r="E3" s="97"/>
      <c r="F3" s="96"/>
      <c r="G3" s="96"/>
      <c r="H3" s="96"/>
      <c r="L3" s="138"/>
      <c r="O3" s="138"/>
      <c r="R3" s="138"/>
      <c r="U3" s="138"/>
      <c r="X3" s="138"/>
    </row>
    <row r="4" spans="2:24" ht="12.75" customHeight="1" x14ac:dyDescent="0.25">
      <c r="B4" s="96"/>
      <c r="C4" s="96"/>
      <c r="D4" s="97"/>
      <c r="E4" s="97"/>
      <c r="F4" s="96"/>
      <c r="G4" s="96"/>
      <c r="H4" s="96"/>
      <c r="L4" s="138"/>
      <c r="O4" s="138"/>
      <c r="R4" s="138"/>
      <c r="U4" s="138"/>
      <c r="X4" s="138"/>
    </row>
    <row r="5" spans="2:24" ht="12.75" customHeight="1" x14ac:dyDescent="0.25">
      <c r="B5" s="96"/>
      <c r="C5" s="96"/>
      <c r="D5" s="97"/>
      <c r="E5" s="97"/>
      <c r="F5" s="96"/>
      <c r="G5" s="96"/>
      <c r="H5" s="96"/>
      <c r="L5" s="138"/>
      <c r="O5" s="138"/>
      <c r="R5" s="138"/>
      <c r="U5" s="138"/>
      <c r="X5" s="138"/>
    </row>
    <row r="6" spans="2:24" ht="12.75" customHeight="1" x14ac:dyDescent="0.25">
      <c r="B6" s="96"/>
      <c r="C6" s="96"/>
      <c r="D6" s="97"/>
      <c r="E6" s="97"/>
      <c r="F6" s="96"/>
      <c r="G6" s="96"/>
      <c r="H6" s="96"/>
      <c r="L6" s="138"/>
      <c r="O6" s="138"/>
      <c r="R6" s="138"/>
      <c r="U6" s="138"/>
      <c r="X6" s="138"/>
    </row>
    <row r="7" spans="2:24" ht="12.75" customHeight="1" x14ac:dyDescent="0.25">
      <c r="B7" s="96"/>
      <c r="C7" s="96"/>
      <c r="D7" s="97"/>
      <c r="E7" s="97"/>
      <c r="F7" s="96"/>
      <c r="G7" s="96"/>
      <c r="H7" s="96"/>
      <c r="L7" s="138"/>
      <c r="O7" s="138"/>
      <c r="R7" s="138"/>
      <c r="U7" s="138"/>
      <c r="X7" s="138"/>
    </row>
    <row r="8" spans="2:24" ht="12.75" customHeight="1" x14ac:dyDescent="0.25">
      <c r="B8" s="96"/>
      <c r="C8" s="96"/>
      <c r="D8" s="97"/>
      <c r="E8" s="97"/>
      <c r="F8" s="96"/>
      <c r="G8" s="96"/>
      <c r="H8" s="96"/>
      <c r="L8" s="138"/>
      <c r="O8" s="138"/>
      <c r="R8" s="138"/>
      <c r="U8" s="138"/>
      <c r="X8" s="138"/>
    </row>
    <row r="9" spans="2:24" ht="12.75" customHeight="1" x14ac:dyDescent="0.25">
      <c r="B9" s="96"/>
      <c r="C9" s="96"/>
      <c r="D9" s="97"/>
      <c r="E9" s="97"/>
      <c r="F9" s="96"/>
      <c r="G9" s="96"/>
      <c r="H9" s="96"/>
      <c r="L9" s="138"/>
      <c r="O9" s="138"/>
      <c r="R9" s="138"/>
      <c r="U9" s="138"/>
      <c r="X9" s="138"/>
    </row>
    <row r="10" spans="2:24" ht="12.75" customHeight="1" x14ac:dyDescent="0.25">
      <c r="B10" s="96"/>
      <c r="C10" s="96"/>
      <c r="D10" s="97"/>
      <c r="E10" s="97"/>
      <c r="F10" s="96"/>
      <c r="G10" s="96"/>
      <c r="H10" s="96"/>
      <c r="L10" s="138"/>
      <c r="O10" s="138"/>
      <c r="R10" s="138"/>
      <c r="U10" s="138"/>
      <c r="X10" s="138"/>
    </row>
    <row r="11" spans="2:24" ht="12.75" customHeight="1" x14ac:dyDescent="0.25">
      <c r="B11" s="96"/>
      <c r="C11" s="96"/>
      <c r="D11" s="97"/>
      <c r="E11" s="97"/>
      <c r="F11" s="96"/>
      <c r="G11" s="96"/>
      <c r="H11" s="96"/>
      <c r="L11" s="138"/>
      <c r="O11" s="138"/>
      <c r="R11" s="138"/>
      <c r="U11" s="138"/>
      <c r="X11" s="138"/>
    </row>
    <row r="12" spans="2:24" ht="12.75" customHeight="1" x14ac:dyDescent="0.25">
      <c r="B12" s="96"/>
      <c r="C12" s="96"/>
      <c r="D12" s="97"/>
      <c r="E12" s="97"/>
      <c r="F12" s="96"/>
      <c r="G12" s="96"/>
      <c r="H12" s="96"/>
      <c r="L12" s="138"/>
      <c r="O12" s="138"/>
      <c r="R12" s="138"/>
      <c r="U12" s="138"/>
      <c r="X12" s="138"/>
    </row>
    <row r="13" spans="2:24" ht="12.75" customHeight="1" x14ac:dyDescent="0.25">
      <c r="B13" s="96"/>
      <c r="C13" s="96"/>
      <c r="D13" s="97"/>
      <c r="E13" s="97"/>
      <c r="F13" s="96"/>
      <c r="G13" s="96"/>
      <c r="H13" s="96"/>
      <c r="L13" s="138"/>
      <c r="O13" s="138"/>
      <c r="R13" s="138"/>
      <c r="U13" s="138"/>
      <c r="X13" s="138"/>
    </row>
    <row r="14" spans="2:24" ht="12.75" customHeight="1" x14ac:dyDescent="0.25">
      <c r="B14" s="96"/>
      <c r="C14" s="96"/>
      <c r="D14" s="97"/>
      <c r="E14" s="97"/>
      <c r="F14" s="96"/>
      <c r="G14" s="96"/>
      <c r="H14" s="96"/>
      <c r="L14" s="138"/>
      <c r="O14" s="138"/>
      <c r="R14" s="138"/>
      <c r="U14" s="138"/>
      <c r="X14" s="138"/>
    </row>
    <row r="15" spans="2:24" ht="12.75" customHeight="1" x14ac:dyDescent="0.25">
      <c r="B15" s="96"/>
      <c r="C15" s="96"/>
      <c r="D15" s="97"/>
      <c r="E15" s="97"/>
      <c r="F15" s="96"/>
      <c r="G15" s="96"/>
      <c r="H15" s="96"/>
      <c r="L15" s="138"/>
      <c r="O15" s="138"/>
      <c r="R15" s="138"/>
      <c r="U15" s="138"/>
      <c r="X15" s="138"/>
    </row>
    <row r="16" spans="2:24" ht="12.75" customHeight="1" x14ac:dyDescent="0.25">
      <c r="B16" s="96"/>
      <c r="C16" s="96"/>
      <c r="D16" s="97"/>
      <c r="E16" s="97"/>
      <c r="F16" s="96"/>
      <c r="G16" s="96"/>
      <c r="H16" s="96"/>
      <c r="L16" s="138"/>
      <c r="O16" s="138"/>
      <c r="R16" s="138"/>
      <c r="U16" s="138"/>
      <c r="X16" s="138"/>
    </row>
    <row r="17" spans="2:24" ht="12.75" customHeight="1" x14ac:dyDescent="0.25">
      <c r="B17" s="96"/>
      <c r="C17" s="96"/>
      <c r="D17" s="97"/>
      <c r="E17" s="97"/>
      <c r="F17" s="96"/>
      <c r="G17" s="96"/>
      <c r="H17" s="96"/>
      <c r="L17" s="138"/>
      <c r="O17" s="138"/>
      <c r="R17" s="138"/>
      <c r="U17" s="138"/>
      <c r="X17" s="138"/>
    </row>
    <row r="18" spans="2:24" ht="12.75" customHeight="1" x14ac:dyDescent="0.25">
      <c r="B18" s="96"/>
      <c r="C18" s="96"/>
      <c r="D18" s="97"/>
      <c r="E18" s="97"/>
      <c r="F18" s="96"/>
      <c r="G18" s="96"/>
      <c r="H18" s="96"/>
      <c r="L18" s="138"/>
      <c r="O18" s="138"/>
      <c r="R18" s="138"/>
      <c r="U18" s="138"/>
      <c r="X18" s="138"/>
    </row>
    <row r="19" spans="2:24" ht="12.75" customHeight="1" x14ac:dyDescent="0.25">
      <c r="B19" s="96"/>
      <c r="C19" s="96"/>
      <c r="D19" s="97"/>
      <c r="E19" s="97"/>
      <c r="F19" s="96"/>
      <c r="G19" s="96"/>
      <c r="H19" s="96"/>
      <c r="L19" s="138"/>
      <c r="O19" s="138"/>
      <c r="R19" s="138"/>
      <c r="U19" s="138"/>
      <c r="X19" s="138"/>
    </row>
    <row r="20" spans="2:24" ht="12.75" customHeight="1" x14ac:dyDescent="0.25">
      <c r="B20" s="96"/>
      <c r="C20" s="96"/>
      <c r="D20" s="97"/>
      <c r="E20" s="97"/>
      <c r="F20" s="96"/>
      <c r="G20" s="96"/>
      <c r="H20" s="96"/>
      <c r="L20" s="138"/>
      <c r="O20" s="138"/>
      <c r="R20" s="138"/>
      <c r="U20" s="138"/>
      <c r="X20" s="138"/>
    </row>
    <row r="21" spans="2:24" ht="12.75" customHeight="1" x14ac:dyDescent="0.25">
      <c r="B21" s="96"/>
      <c r="C21" s="96"/>
      <c r="D21" s="97"/>
      <c r="E21" s="97"/>
      <c r="F21" s="96"/>
      <c r="G21" s="96"/>
      <c r="H21" s="96"/>
      <c r="L21" s="138"/>
      <c r="O21" s="138"/>
      <c r="R21" s="138"/>
      <c r="U21" s="138"/>
      <c r="X21" s="138"/>
    </row>
    <row r="22" spans="2:24" ht="12.75" customHeight="1" x14ac:dyDescent="0.25">
      <c r="B22" s="96"/>
      <c r="C22" s="96"/>
      <c r="D22" s="97"/>
      <c r="E22" s="97"/>
      <c r="F22" s="96"/>
      <c r="G22" s="96"/>
      <c r="H22" s="96"/>
      <c r="L22" s="138"/>
      <c r="O22" s="138"/>
      <c r="R22" s="138"/>
      <c r="U22" s="138"/>
      <c r="X22" s="138"/>
    </row>
    <row r="23" spans="2:24" ht="12.75" customHeight="1" x14ac:dyDescent="0.25">
      <c r="B23" s="96"/>
      <c r="C23" s="96"/>
      <c r="D23" s="97"/>
      <c r="E23" s="97"/>
      <c r="F23" s="96"/>
      <c r="G23" s="96"/>
      <c r="H23" s="96"/>
      <c r="L23" s="138"/>
      <c r="O23" s="138"/>
      <c r="R23" s="138"/>
      <c r="U23" s="138"/>
      <c r="X23" s="138"/>
    </row>
    <row r="24" spans="2:24" ht="12.75" customHeight="1" x14ac:dyDescent="0.25">
      <c r="B24" s="96"/>
      <c r="C24" s="96"/>
      <c r="D24" s="97"/>
      <c r="E24" s="97"/>
      <c r="F24" s="96"/>
      <c r="G24" s="96"/>
      <c r="H24" s="96"/>
      <c r="L24" s="138"/>
      <c r="O24" s="138"/>
      <c r="R24" s="138"/>
      <c r="U24" s="138"/>
      <c r="X24" s="138"/>
    </row>
    <row r="25" spans="2:24" ht="12.75" customHeight="1" x14ac:dyDescent="0.25">
      <c r="B25" s="96"/>
      <c r="C25" s="96"/>
      <c r="D25" s="97"/>
      <c r="E25" s="97"/>
      <c r="F25" s="96"/>
      <c r="G25" s="96"/>
      <c r="H25" s="96"/>
      <c r="L25" s="138"/>
      <c r="O25" s="138"/>
      <c r="R25" s="138"/>
      <c r="U25" s="138"/>
      <c r="X25" s="138"/>
    </row>
    <row r="26" spans="2:24" ht="12.75" customHeight="1" x14ac:dyDescent="0.25">
      <c r="B26" s="96"/>
      <c r="C26" s="96"/>
      <c r="D26" s="97"/>
      <c r="E26" s="97"/>
      <c r="F26" s="96"/>
      <c r="G26" s="96"/>
      <c r="H26" s="96"/>
      <c r="L26" s="138"/>
      <c r="O26" s="138"/>
      <c r="R26" s="138"/>
      <c r="U26" s="138"/>
      <c r="X26" s="138"/>
    </row>
    <row r="27" spans="2:24" ht="12.75" customHeight="1" x14ac:dyDescent="0.25">
      <c r="B27" s="96"/>
      <c r="C27" s="96"/>
      <c r="D27" s="97"/>
      <c r="E27" s="97"/>
      <c r="F27" s="96"/>
      <c r="G27" s="96"/>
      <c r="H27" s="96"/>
      <c r="L27" s="138"/>
      <c r="O27" s="138"/>
      <c r="R27" s="138"/>
      <c r="U27" s="138"/>
      <c r="X27" s="138"/>
    </row>
    <row r="28" spans="2:24" ht="12.75" customHeight="1" x14ac:dyDescent="0.25">
      <c r="B28" s="96"/>
      <c r="C28" s="96"/>
      <c r="D28" s="97"/>
      <c r="E28" s="97"/>
      <c r="F28" s="96"/>
      <c r="G28" s="96"/>
      <c r="H28" s="96"/>
      <c r="L28" s="138"/>
      <c r="O28" s="138"/>
      <c r="R28" s="138"/>
      <c r="U28" s="138"/>
      <c r="X28" s="138"/>
    </row>
    <row r="29" spans="2:24" ht="12.75" customHeight="1" x14ac:dyDescent="0.25">
      <c r="B29" s="96"/>
      <c r="C29" s="96"/>
      <c r="D29" s="97"/>
      <c r="E29" s="97"/>
      <c r="F29" s="96"/>
      <c r="G29" s="96"/>
      <c r="H29" s="96"/>
      <c r="L29" s="138"/>
      <c r="O29" s="138"/>
      <c r="R29" s="138"/>
      <c r="U29" s="138"/>
      <c r="X29" s="138"/>
    </row>
    <row r="30" spans="2:24" ht="12.75" customHeight="1" x14ac:dyDescent="0.25">
      <c r="B30" s="96"/>
      <c r="C30" s="96"/>
      <c r="D30" s="97"/>
      <c r="E30" s="97"/>
      <c r="F30" s="96"/>
      <c r="G30" s="96"/>
      <c r="H30" s="96"/>
      <c r="L30" s="138"/>
      <c r="O30" s="138"/>
      <c r="R30" s="138"/>
      <c r="U30" s="138"/>
      <c r="X30" s="138"/>
    </row>
    <row r="31" spans="2:24" ht="12.75" customHeight="1" x14ac:dyDescent="0.25">
      <c r="B31" s="96"/>
      <c r="C31" s="96"/>
      <c r="D31" s="97"/>
      <c r="E31" s="97"/>
      <c r="F31" s="96"/>
      <c r="G31" s="96"/>
      <c r="H31" s="96"/>
      <c r="L31" s="138"/>
      <c r="O31" s="138"/>
      <c r="R31" s="138"/>
      <c r="U31" s="138"/>
      <c r="X31" s="138"/>
    </row>
    <row r="32" spans="2:24" ht="12.75" customHeight="1" x14ac:dyDescent="0.25">
      <c r="B32" s="96"/>
      <c r="C32" s="96"/>
      <c r="D32" s="97"/>
      <c r="E32" s="97"/>
      <c r="F32" s="96"/>
      <c r="G32" s="96"/>
      <c r="H32" s="96"/>
      <c r="L32" s="138"/>
      <c r="O32" s="138"/>
      <c r="R32" s="138"/>
      <c r="U32" s="138"/>
      <c r="X32" s="138"/>
    </row>
    <row r="33" spans="2:24" ht="12.75" customHeight="1" x14ac:dyDescent="0.25">
      <c r="B33" s="96"/>
      <c r="C33" s="96"/>
      <c r="D33" s="97"/>
      <c r="E33" s="97"/>
      <c r="F33" s="96"/>
      <c r="G33" s="96"/>
      <c r="H33" s="96"/>
      <c r="L33" s="138"/>
      <c r="O33" s="138"/>
      <c r="R33" s="138"/>
      <c r="U33" s="138"/>
      <c r="X33" s="138"/>
    </row>
    <row r="34" spans="2:24" ht="12.75" customHeight="1" x14ac:dyDescent="0.25">
      <c r="B34" s="96"/>
      <c r="C34" s="96"/>
      <c r="D34" s="97"/>
      <c r="E34" s="97"/>
      <c r="F34" s="96"/>
      <c r="G34" s="96"/>
      <c r="H34" s="96"/>
      <c r="L34" s="138"/>
      <c r="O34" s="138"/>
      <c r="R34" s="138"/>
      <c r="U34" s="138"/>
      <c r="X34" s="138"/>
    </row>
    <row r="35" spans="2:24" ht="12.75" customHeight="1" x14ac:dyDescent="0.25">
      <c r="B35" s="96"/>
      <c r="C35" s="96"/>
      <c r="D35" s="97"/>
      <c r="E35" s="97"/>
      <c r="F35" s="96"/>
      <c r="G35" s="96"/>
      <c r="H35" s="96"/>
      <c r="L35" s="138"/>
      <c r="O35" s="138"/>
      <c r="R35" s="138"/>
      <c r="U35" s="138"/>
      <c r="X35" s="138"/>
    </row>
    <row r="36" spans="2:24" ht="12.75" customHeight="1" x14ac:dyDescent="0.25">
      <c r="B36" s="96"/>
      <c r="C36" s="96"/>
      <c r="D36" s="97"/>
      <c r="E36" s="97"/>
      <c r="F36" s="96"/>
      <c r="G36" s="96"/>
      <c r="H36" s="96"/>
      <c r="L36" s="138"/>
      <c r="O36" s="138"/>
      <c r="R36" s="138"/>
      <c r="U36" s="138"/>
      <c r="X36" s="138"/>
    </row>
    <row r="37" spans="2:24" ht="12.75" customHeight="1" x14ac:dyDescent="0.25">
      <c r="B37" s="96"/>
      <c r="C37" s="96"/>
      <c r="D37" s="97"/>
      <c r="E37" s="97"/>
      <c r="F37" s="96"/>
      <c r="G37" s="96"/>
      <c r="H37" s="96"/>
      <c r="L37" s="138"/>
      <c r="O37" s="138"/>
      <c r="R37" s="138"/>
      <c r="U37" s="138"/>
      <c r="X37" s="138"/>
    </row>
    <row r="38" spans="2:24" ht="12.75" customHeight="1" x14ac:dyDescent="0.25">
      <c r="B38" s="96"/>
      <c r="C38" s="96"/>
      <c r="D38" s="97"/>
      <c r="E38" s="97"/>
      <c r="F38" s="96"/>
      <c r="G38" s="96"/>
      <c r="H38" s="96"/>
      <c r="L38" s="138"/>
      <c r="O38" s="138"/>
      <c r="R38" s="138"/>
      <c r="U38" s="138"/>
      <c r="X38" s="138"/>
    </row>
    <row r="39" spans="2:24" ht="12.75" customHeight="1" x14ac:dyDescent="0.25">
      <c r="B39" s="96"/>
      <c r="C39" s="96"/>
      <c r="D39" s="97"/>
      <c r="E39" s="97"/>
      <c r="F39" s="96"/>
      <c r="G39" s="96"/>
      <c r="H39" s="96"/>
      <c r="L39" s="138"/>
      <c r="O39" s="138"/>
      <c r="R39" s="138"/>
      <c r="U39" s="138"/>
      <c r="X39" s="138"/>
    </row>
    <row r="40" spans="2:24" ht="12.75" customHeight="1" x14ac:dyDescent="0.25">
      <c r="B40" s="96"/>
      <c r="C40" s="96"/>
      <c r="D40" s="97"/>
      <c r="E40" s="97"/>
      <c r="F40" s="96"/>
      <c r="G40" s="96"/>
      <c r="H40" s="96"/>
      <c r="L40" s="138"/>
      <c r="O40" s="138"/>
      <c r="R40" s="138"/>
      <c r="U40" s="138"/>
      <c r="X40" s="138"/>
    </row>
    <row r="41" spans="2:24" ht="12.75" customHeight="1" x14ac:dyDescent="0.25">
      <c r="B41" s="96"/>
      <c r="C41" s="96"/>
      <c r="D41" s="97"/>
      <c r="E41" s="97"/>
      <c r="F41" s="96"/>
      <c r="G41" s="96"/>
      <c r="H41" s="96"/>
      <c r="L41" s="138"/>
      <c r="O41" s="138"/>
      <c r="R41" s="138"/>
      <c r="U41" s="138"/>
      <c r="X41" s="138"/>
    </row>
    <row r="42" spans="2:24" ht="12.75" customHeight="1" x14ac:dyDescent="0.25">
      <c r="B42" s="96"/>
      <c r="C42" s="96"/>
      <c r="D42" s="97"/>
      <c r="E42" s="97"/>
      <c r="F42" s="96"/>
      <c r="G42" s="96"/>
      <c r="H42" s="96"/>
      <c r="L42" s="138"/>
      <c r="O42" s="138"/>
      <c r="R42" s="138"/>
      <c r="U42" s="138"/>
      <c r="X42" s="138"/>
    </row>
    <row r="43" spans="2:24" ht="12.75" customHeight="1" x14ac:dyDescent="0.25">
      <c r="B43" s="96"/>
      <c r="C43" s="96"/>
      <c r="D43" s="97"/>
      <c r="E43" s="97"/>
      <c r="F43" s="96"/>
      <c r="G43" s="96"/>
      <c r="H43" s="96"/>
      <c r="L43" s="138"/>
      <c r="O43" s="138"/>
      <c r="R43" s="138"/>
      <c r="U43" s="138"/>
      <c r="X43" s="138"/>
    </row>
    <row r="44" spans="2:24" ht="12.75" customHeight="1" x14ac:dyDescent="0.25">
      <c r="B44" s="96"/>
      <c r="C44" s="96"/>
      <c r="D44" s="97"/>
      <c r="E44" s="97"/>
      <c r="F44" s="96"/>
      <c r="G44" s="96"/>
      <c r="H44" s="96"/>
      <c r="L44" s="138"/>
      <c r="O44" s="138"/>
      <c r="R44" s="138"/>
      <c r="U44" s="138"/>
      <c r="X44" s="138"/>
    </row>
    <row r="45" spans="2:24" ht="12.75" customHeight="1" x14ac:dyDescent="0.25">
      <c r="B45" s="96"/>
      <c r="C45" s="96"/>
      <c r="D45" s="97"/>
      <c r="E45" s="97"/>
      <c r="F45" s="96"/>
      <c r="G45" s="96"/>
      <c r="H45" s="96"/>
      <c r="L45" s="138"/>
      <c r="O45" s="138"/>
      <c r="R45" s="138"/>
      <c r="U45" s="138"/>
      <c r="X45" s="138"/>
    </row>
    <row r="46" spans="2:24" ht="12.75" customHeight="1" x14ac:dyDescent="0.25">
      <c r="B46" s="96"/>
      <c r="C46" s="96"/>
      <c r="D46" s="97"/>
      <c r="E46" s="97"/>
      <c r="F46" s="96"/>
      <c r="G46" s="96"/>
      <c r="H46" s="96"/>
      <c r="L46" s="138"/>
      <c r="O46" s="138"/>
      <c r="R46" s="138"/>
      <c r="U46" s="138"/>
      <c r="X46" s="138"/>
    </row>
    <row r="47" spans="2:24" ht="12.75" customHeight="1" x14ac:dyDescent="0.25">
      <c r="B47" s="96"/>
      <c r="C47" s="96"/>
      <c r="D47" s="97"/>
      <c r="E47" s="97"/>
      <c r="F47" s="96"/>
      <c r="G47" s="96"/>
      <c r="H47" s="96"/>
      <c r="L47" s="138"/>
      <c r="O47" s="138"/>
      <c r="R47" s="138"/>
      <c r="U47" s="138"/>
      <c r="X47" s="138"/>
    </row>
    <row r="48" spans="2:24" ht="12.75" customHeight="1" x14ac:dyDescent="0.25">
      <c r="B48" s="96"/>
      <c r="C48" s="96"/>
      <c r="D48" s="97"/>
      <c r="E48" s="97"/>
      <c r="F48" s="96"/>
      <c r="G48" s="96"/>
      <c r="H48" s="96"/>
      <c r="L48" s="138"/>
      <c r="O48" s="138"/>
      <c r="R48" s="138"/>
      <c r="U48" s="138"/>
      <c r="X48" s="138"/>
    </row>
    <row r="49" spans="2:24" ht="12.75" customHeight="1" x14ac:dyDescent="0.25">
      <c r="B49" s="96"/>
      <c r="C49" s="96"/>
      <c r="D49" s="97"/>
      <c r="E49" s="97"/>
      <c r="F49" s="96"/>
      <c r="G49" s="96"/>
      <c r="H49" s="96"/>
      <c r="L49" s="138"/>
      <c r="O49" s="138"/>
      <c r="R49" s="138"/>
      <c r="U49" s="138"/>
      <c r="X49" s="138"/>
    </row>
    <row r="50" spans="2:24" ht="12.75" customHeight="1" x14ac:dyDescent="0.25">
      <c r="B50" s="96"/>
      <c r="C50" s="96"/>
      <c r="D50" s="97"/>
      <c r="E50" s="97"/>
      <c r="F50" s="96"/>
      <c r="G50" s="96"/>
      <c r="H50" s="96"/>
      <c r="L50" s="138"/>
      <c r="O50" s="138"/>
      <c r="R50" s="138"/>
      <c r="U50" s="138"/>
      <c r="X50" s="138"/>
    </row>
    <row r="51" spans="2:24" ht="12.75" customHeight="1" x14ac:dyDescent="0.25">
      <c r="B51" s="96"/>
      <c r="C51" s="96"/>
      <c r="D51" s="97"/>
      <c r="E51" s="97"/>
      <c r="F51" s="96"/>
      <c r="G51" s="96"/>
      <c r="H51" s="96"/>
      <c r="L51" s="138"/>
      <c r="O51" s="138"/>
      <c r="R51" s="138"/>
      <c r="U51" s="138"/>
      <c r="X51" s="138"/>
    </row>
    <row r="52" spans="2:24" ht="12.75" customHeight="1" x14ac:dyDescent="0.25">
      <c r="B52" s="96"/>
      <c r="C52" s="96"/>
      <c r="D52" s="97"/>
      <c r="E52" s="97"/>
      <c r="F52" s="96"/>
      <c r="G52" s="96"/>
      <c r="H52" s="96"/>
      <c r="L52" s="138"/>
      <c r="O52" s="138"/>
      <c r="R52" s="138"/>
      <c r="U52" s="138"/>
      <c r="X52" s="138"/>
    </row>
    <row r="53" spans="2:24" ht="12.75" customHeight="1" x14ac:dyDescent="0.25">
      <c r="B53" s="96"/>
      <c r="C53" s="96"/>
      <c r="D53" s="97"/>
      <c r="E53" s="97"/>
      <c r="F53" s="96"/>
      <c r="G53" s="96"/>
      <c r="H53" s="96"/>
      <c r="L53" s="138"/>
      <c r="O53" s="138"/>
      <c r="R53" s="138"/>
      <c r="U53" s="138"/>
      <c r="X53" s="138"/>
    </row>
    <row r="54" spans="2:24" ht="12.75" customHeight="1" x14ac:dyDescent="0.25">
      <c r="B54" s="96"/>
      <c r="C54" s="96"/>
      <c r="D54" s="97"/>
      <c r="E54" s="97"/>
      <c r="F54" s="96"/>
      <c r="G54" s="96"/>
      <c r="H54" s="96"/>
      <c r="L54" s="138"/>
      <c r="O54" s="138"/>
      <c r="R54" s="138"/>
      <c r="U54" s="138"/>
      <c r="X54" s="138"/>
    </row>
    <row r="55" spans="2:24" ht="12.75" customHeight="1" x14ac:dyDescent="0.25">
      <c r="B55" s="96"/>
      <c r="C55" s="96"/>
      <c r="D55" s="97"/>
      <c r="E55" s="97"/>
      <c r="F55" s="96"/>
      <c r="G55" s="96"/>
      <c r="H55" s="96"/>
      <c r="L55" s="138"/>
      <c r="O55" s="138"/>
      <c r="R55" s="138"/>
      <c r="U55" s="138"/>
      <c r="X55" s="138"/>
    </row>
    <row r="56" spans="2:24" ht="12.75" customHeight="1" x14ac:dyDescent="0.25">
      <c r="B56" s="96"/>
      <c r="C56" s="96"/>
      <c r="D56" s="97"/>
      <c r="E56" s="97"/>
      <c r="F56" s="96"/>
      <c r="G56" s="96"/>
      <c r="H56" s="96"/>
      <c r="L56" s="138"/>
      <c r="O56" s="138"/>
      <c r="R56" s="138"/>
      <c r="U56" s="138"/>
      <c r="X56" s="138"/>
    </row>
    <row r="57" spans="2:24" ht="12.75" customHeight="1" x14ac:dyDescent="0.25">
      <c r="B57" s="96"/>
      <c r="C57" s="96"/>
      <c r="D57" s="97"/>
      <c r="E57" s="97"/>
      <c r="F57" s="96"/>
      <c r="G57" s="96"/>
      <c r="H57" s="96"/>
      <c r="L57" s="138"/>
      <c r="O57" s="138"/>
      <c r="R57" s="138"/>
      <c r="U57" s="138"/>
      <c r="X57" s="138"/>
    </row>
    <row r="58" spans="2:24" ht="12.75" customHeight="1" x14ac:dyDescent="0.25">
      <c r="B58" s="96"/>
      <c r="C58" s="96"/>
      <c r="D58" s="97"/>
      <c r="E58" s="97"/>
      <c r="F58" s="96"/>
      <c r="G58" s="96"/>
      <c r="H58" s="96"/>
      <c r="L58" s="138"/>
      <c r="O58" s="138"/>
      <c r="R58" s="138"/>
      <c r="U58" s="138"/>
      <c r="X58" s="138"/>
    </row>
    <row r="59" spans="2:24" ht="12.75" customHeight="1" x14ac:dyDescent="0.25">
      <c r="B59" s="96"/>
      <c r="C59" s="96"/>
      <c r="D59" s="138"/>
      <c r="E59" s="138"/>
      <c r="F59" s="96"/>
      <c r="G59" s="96"/>
      <c r="H59" s="96"/>
      <c r="L59" s="138"/>
      <c r="O59" s="138"/>
      <c r="R59" s="138"/>
      <c r="U59" s="138"/>
      <c r="X59" s="138"/>
    </row>
    <row r="60" spans="2:24" ht="12.75" customHeight="1" x14ac:dyDescent="0.25">
      <c r="B60" s="96"/>
      <c r="C60" s="96"/>
      <c r="D60" s="138"/>
      <c r="E60" s="138"/>
      <c r="G60" s="96"/>
      <c r="H60" s="96"/>
      <c r="L60" s="138"/>
      <c r="O60" s="138"/>
      <c r="R60" s="138"/>
      <c r="U60" s="138"/>
      <c r="X60" s="138"/>
    </row>
    <row r="61" spans="2:24" ht="12.75" customHeight="1" x14ac:dyDescent="0.25">
      <c r="D61" s="138"/>
      <c r="E61" s="138"/>
      <c r="L61" s="138"/>
      <c r="O61" s="138"/>
      <c r="R61" s="138"/>
      <c r="U61" s="138"/>
      <c r="X61" s="138"/>
    </row>
    <row r="62" spans="2:24" ht="12.75" customHeight="1" x14ac:dyDescent="0.25">
      <c r="D62" s="138"/>
      <c r="E62" s="138"/>
      <c r="L62" s="138"/>
      <c r="O62" s="138"/>
      <c r="R62" s="138"/>
      <c r="U62" s="138"/>
      <c r="X62" s="138"/>
    </row>
    <row r="63" spans="2:24" ht="12.75" customHeight="1" x14ac:dyDescent="0.25">
      <c r="D63" s="138"/>
      <c r="E63" s="138"/>
      <c r="L63" s="138"/>
      <c r="O63" s="138"/>
      <c r="R63" s="138"/>
      <c r="U63" s="138"/>
      <c r="X63" s="138"/>
    </row>
    <row r="64" spans="2:24" ht="12.75" customHeight="1" x14ac:dyDescent="0.25">
      <c r="D64" s="138"/>
      <c r="E64" s="138"/>
      <c r="L64" s="138"/>
      <c r="O64" s="138"/>
      <c r="R64" s="138"/>
      <c r="U64" s="138"/>
      <c r="X64" s="138"/>
    </row>
    <row r="65" spans="4:24" ht="12.75" customHeight="1" x14ac:dyDescent="0.25">
      <c r="D65" s="138"/>
      <c r="E65" s="138"/>
      <c r="L65" s="138"/>
      <c r="O65" s="138"/>
      <c r="R65" s="138"/>
      <c r="U65" s="138"/>
      <c r="X65" s="138"/>
    </row>
    <row r="66" spans="4:24" ht="12.75" customHeight="1" x14ac:dyDescent="0.25">
      <c r="D66" s="138"/>
      <c r="E66" s="138"/>
      <c r="L66" s="138"/>
      <c r="O66" s="138"/>
      <c r="R66" s="138"/>
      <c r="U66" s="138"/>
      <c r="X66" s="138"/>
    </row>
    <row r="67" spans="4:24" ht="12.75" customHeight="1" x14ac:dyDescent="0.25">
      <c r="D67" s="138"/>
      <c r="E67" s="138"/>
      <c r="L67" s="138"/>
      <c r="O67" s="138"/>
      <c r="R67" s="138"/>
      <c r="U67" s="138"/>
      <c r="X67" s="138"/>
    </row>
    <row r="68" spans="4:24" ht="12.75" customHeight="1" x14ac:dyDescent="0.25">
      <c r="D68" s="138"/>
      <c r="E68" s="138"/>
      <c r="L68" s="138"/>
      <c r="O68" s="138"/>
      <c r="R68" s="138"/>
      <c r="U68" s="138"/>
      <c r="X68" s="138"/>
    </row>
    <row r="69" spans="4:24" ht="12.75" customHeight="1" x14ac:dyDescent="0.25">
      <c r="D69" s="138"/>
      <c r="E69" s="138"/>
      <c r="L69" s="138"/>
      <c r="O69" s="138"/>
      <c r="R69" s="138"/>
      <c r="U69" s="138"/>
      <c r="X69" s="138"/>
    </row>
    <row r="70" spans="4:24" ht="12.75" customHeight="1" x14ac:dyDescent="0.25">
      <c r="D70" s="138"/>
      <c r="E70" s="138"/>
      <c r="L70" s="138"/>
      <c r="O70" s="138"/>
      <c r="R70" s="138"/>
      <c r="U70" s="138"/>
      <c r="X70" s="138"/>
    </row>
    <row r="71" spans="4:24" ht="12.75" customHeight="1" x14ac:dyDescent="0.25">
      <c r="D71" s="138"/>
      <c r="E71" s="138"/>
      <c r="L71" s="138"/>
      <c r="O71" s="138"/>
      <c r="R71" s="138"/>
      <c r="U71" s="138"/>
      <c r="X71" s="138"/>
    </row>
    <row r="72" spans="4:24" ht="12.75" customHeight="1" x14ac:dyDescent="0.25">
      <c r="D72" s="138"/>
      <c r="E72" s="138"/>
      <c r="L72" s="138"/>
      <c r="O72" s="138"/>
      <c r="R72" s="138"/>
      <c r="U72" s="138"/>
      <c r="X72" s="138"/>
    </row>
    <row r="73" spans="4:24" ht="12.75" customHeight="1" x14ac:dyDescent="0.25">
      <c r="D73" s="138"/>
      <c r="E73" s="138"/>
      <c r="L73" s="138"/>
      <c r="O73" s="138"/>
      <c r="R73" s="138"/>
      <c r="U73" s="138"/>
      <c r="X73" s="138"/>
    </row>
    <row r="74" spans="4:24" ht="12.75" customHeight="1" x14ac:dyDescent="0.25">
      <c r="D74" s="138"/>
      <c r="E74" s="138"/>
      <c r="L74" s="138"/>
      <c r="O74" s="138"/>
      <c r="R74" s="138"/>
      <c r="U74" s="138"/>
      <c r="X74" s="138"/>
    </row>
    <row r="75" spans="4:24" ht="12.75" customHeight="1" x14ac:dyDescent="0.25">
      <c r="D75" s="138"/>
      <c r="E75" s="138"/>
      <c r="L75" s="138"/>
      <c r="O75" s="138"/>
      <c r="R75" s="138"/>
      <c r="U75" s="138"/>
      <c r="X75" s="138"/>
    </row>
    <row r="76" spans="4:24" ht="12.75" customHeight="1" x14ac:dyDescent="0.25">
      <c r="D76" s="138"/>
      <c r="E76" s="138"/>
      <c r="L76" s="138"/>
      <c r="O76" s="138"/>
      <c r="R76" s="138"/>
      <c r="U76" s="138"/>
      <c r="X76" s="138"/>
    </row>
    <row r="77" spans="4:24" ht="12.75" customHeight="1" x14ac:dyDescent="0.25">
      <c r="D77" s="138"/>
      <c r="E77" s="138"/>
      <c r="L77" s="138"/>
      <c r="O77" s="138"/>
      <c r="R77" s="138"/>
      <c r="U77" s="138"/>
      <c r="X77" s="138"/>
    </row>
    <row r="78" spans="4:24" ht="12.75" customHeight="1" x14ac:dyDescent="0.25">
      <c r="D78" s="138"/>
      <c r="E78" s="138"/>
      <c r="L78" s="138"/>
      <c r="O78" s="138"/>
      <c r="R78" s="138"/>
      <c r="U78" s="138"/>
      <c r="X78" s="138"/>
    </row>
    <row r="79" spans="4:24" ht="12.75" customHeight="1" x14ac:dyDescent="0.25">
      <c r="D79" s="138"/>
      <c r="E79" s="138"/>
      <c r="L79" s="138"/>
      <c r="O79" s="138"/>
      <c r="R79" s="138"/>
      <c r="U79" s="138"/>
      <c r="X79" s="138"/>
    </row>
    <row r="80" spans="4:24" ht="12.75" customHeight="1" x14ac:dyDescent="0.25">
      <c r="D80" s="138"/>
      <c r="E80" s="138"/>
      <c r="L80" s="138"/>
      <c r="O80" s="138"/>
      <c r="R80" s="138"/>
      <c r="U80" s="138"/>
      <c r="X80" s="138"/>
    </row>
    <row r="81" spans="4:24" ht="12.75" customHeight="1" x14ac:dyDescent="0.25">
      <c r="D81" s="138"/>
      <c r="E81" s="138"/>
      <c r="L81" s="138"/>
      <c r="O81" s="138"/>
      <c r="R81" s="138"/>
      <c r="U81" s="138"/>
      <c r="X81" s="138"/>
    </row>
    <row r="82" spans="4:24" ht="12.75" customHeight="1" x14ac:dyDescent="0.25">
      <c r="D82" s="138"/>
      <c r="E82" s="138"/>
      <c r="L82" s="138"/>
      <c r="O82" s="138"/>
      <c r="R82" s="138"/>
      <c r="U82" s="138"/>
      <c r="X82" s="138"/>
    </row>
    <row r="83" spans="4:24" ht="12.75" customHeight="1" x14ac:dyDescent="0.25">
      <c r="D83" s="138"/>
      <c r="E83" s="138"/>
      <c r="L83" s="138"/>
      <c r="O83" s="138"/>
      <c r="R83" s="138"/>
      <c r="U83" s="138"/>
      <c r="X83" s="138"/>
    </row>
    <row r="84" spans="4:24" ht="12.75" customHeight="1" x14ac:dyDescent="0.25">
      <c r="D84" s="138"/>
      <c r="E84" s="138"/>
      <c r="L84" s="138"/>
      <c r="O84" s="138"/>
      <c r="R84" s="138"/>
      <c r="U84" s="138"/>
      <c r="X84" s="138"/>
    </row>
    <row r="85" spans="4:24" ht="12.75" customHeight="1" x14ac:dyDescent="0.25">
      <c r="D85" s="138"/>
      <c r="E85" s="138"/>
      <c r="L85" s="138"/>
      <c r="O85" s="138"/>
      <c r="R85" s="138"/>
      <c r="U85" s="138"/>
      <c r="X85" s="138"/>
    </row>
    <row r="86" spans="4:24" ht="12.75" customHeight="1" x14ac:dyDescent="0.25">
      <c r="D86" s="138"/>
      <c r="E86" s="138"/>
      <c r="L86" s="138"/>
      <c r="O86" s="138"/>
      <c r="R86" s="138"/>
      <c r="U86" s="138"/>
      <c r="X86" s="138"/>
    </row>
    <row r="87" spans="4:24" ht="12.75" customHeight="1" x14ac:dyDescent="0.25">
      <c r="D87" s="138"/>
      <c r="E87" s="138"/>
      <c r="L87" s="138"/>
      <c r="O87" s="138"/>
      <c r="R87" s="138"/>
      <c r="U87" s="138"/>
      <c r="X87" s="138"/>
    </row>
    <row r="88" spans="4:24" ht="12.75" customHeight="1" x14ac:dyDescent="0.25">
      <c r="D88" s="138"/>
      <c r="E88" s="138"/>
      <c r="L88" s="138"/>
      <c r="O88" s="138"/>
      <c r="R88" s="138"/>
      <c r="U88" s="138"/>
      <c r="X88" s="138"/>
    </row>
    <row r="89" spans="4:24" ht="12.75" customHeight="1" x14ac:dyDescent="0.25">
      <c r="D89" s="138"/>
      <c r="E89" s="138"/>
      <c r="L89" s="138"/>
      <c r="O89" s="138"/>
      <c r="R89" s="138"/>
      <c r="U89" s="138"/>
      <c r="X89" s="138"/>
    </row>
    <row r="90" spans="4:24" ht="12.75" customHeight="1" x14ac:dyDescent="0.25">
      <c r="D90" s="138"/>
      <c r="E90" s="138"/>
      <c r="L90" s="138"/>
      <c r="O90" s="138"/>
      <c r="R90" s="138"/>
      <c r="U90" s="138"/>
      <c r="X90" s="138"/>
    </row>
    <row r="91" spans="4:24" ht="12.75" customHeight="1" x14ac:dyDescent="0.25">
      <c r="D91" s="138"/>
      <c r="E91" s="138"/>
      <c r="L91" s="138"/>
      <c r="O91" s="138"/>
      <c r="R91" s="138"/>
      <c r="U91" s="138"/>
      <c r="X91" s="138"/>
    </row>
    <row r="92" spans="4:24" ht="12.75" customHeight="1" x14ac:dyDescent="0.25">
      <c r="D92" s="138"/>
      <c r="E92" s="138"/>
      <c r="L92" s="138"/>
      <c r="O92" s="138"/>
      <c r="R92" s="138"/>
      <c r="U92" s="138"/>
      <c r="X92" s="138"/>
    </row>
    <row r="93" spans="4:24" ht="12.75" customHeight="1" x14ac:dyDescent="0.25">
      <c r="D93" s="138"/>
      <c r="E93" s="138"/>
      <c r="L93" s="138"/>
      <c r="O93" s="138"/>
      <c r="R93" s="138"/>
      <c r="U93" s="138"/>
      <c r="X93" s="138"/>
    </row>
    <row r="94" spans="4:24" ht="12.75" customHeight="1" x14ac:dyDescent="0.25">
      <c r="D94" s="138"/>
      <c r="E94" s="138"/>
      <c r="L94" s="138"/>
      <c r="O94" s="138"/>
      <c r="R94" s="138"/>
      <c r="U94" s="138"/>
      <c r="X94" s="138"/>
    </row>
    <row r="95" spans="4:24" ht="12.75" customHeight="1" x14ac:dyDescent="0.25">
      <c r="D95" s="138"/>
      <c r="E95" s="138"/>
      <c r="L95" s="138"/>
      <c r="O95" s="138"/>
      <c r="R95" s="138"/>
      <c r="U95" s="138"/>
      <c r="X95" s="138"/>
    </row>
    <row r="96" spans="4:24" ht="12.75" customHeight="1" x14ac:dyDescent="0.25">
      <c r="D96" s="138"/>
      <c r="E96" s="138"/>
      <c r="L96" s="138"/>
      <c r="O96" s="138"/>
      <c r="R96" s="138"/>
      <c r="U96" s="138"/>
      <c r="X96" s="138"/>
    </row>
    <row r="97" spans="4:24" ht="12.75" customHeight="1" x14ac:dyDescent="0.25">
      <c r="D97" s="138"/>
      <c r="E97" s="138"/>
      <c r="L97" s="138"/>
      <c r="O97" s="138"/>
      <c r="R97" s="138"/>
      <c r="U97" s="138"/>
      <c r="X97" s="138"/>
    </row>
    <row r="98" spans="4:24" ht="12.75" customHeight="1" x14ac:dyDescent="0.25">
      <c r="D98" s="138"/>
      <c r="E98" s="138"/>
      <c r="L98" s="138"/>
      <c r="O98" s="138"/>
      <c r="R98" s="138"/>
      <c r="U98" s="138"/>
      <c r="X98" s="138"/>
    </row>
    <row r="99" spans="4:24" ht="12.75" customHeight="1" x14ac:dyDescent="0.25">
      <c r="D99" s="138"/>
      <c r="E99" s="138"/>
      <c r="L99" s="138"/>
      <c r="O99" s="138"/>
      <c r="R99" s="138"/>
      <c r="U99" s="138"/>
      <c r="X99" s="138"/>
    </row>
    <row r="100" spans="4:24" ht="12.75" customHeight="1" x14ac:dyDescent="0.25">
      <c r="D100" s="138"/>
      <c r="E100" s="138"/>
      <c r="L100" s="138"/>
      <c r="O100" s="138"/>
      <c r="R100" s="138"/>
      <c r="U100" s="138"/>
      <c r="X100" s="138"/>
    </row>
    <row r="101" spans="4:24" ht="12.75" customHeight="1" x14ac:dyDescent="0.25">
      <c r="D101" s="138"/>
      <c r="E101" s="138"/>
      <c r="L101" s="138"/>
      <c r="O101" s="138"/>
      <c r="R101" s="138"/>
      <c r="U101" s="138"/>
      <c r="X101" s="138"/>
    </row>
    <row r="102" spans="4:24" ht="12.75" customHeight="1" x14ac:dyDescent="0.25">
      <c r="D102" s="138"/>
      <c r="E102" s="138"/>
      <c r="L102" s="138"/>
      <c r="O102" s="138"/>
      <c r="R102" s="138"/>
      <c r="U102" s="138"/>
      <c r="X102" s="138"/>
    </row>
    <row r="103" spans="4:24" ht="12.75" customHeight="1" x14ac:dyDescent="0.25">
      <c r="D103" s="138"/>
      <c r="E103" s="138"/>
      <c r="L103" s="138"/>
      <c r="O103" s="138"/>
      <c r="R103" s="138"/>
      <c r="U103" s="138"/>
      <c r="X103" s="138"/>
    </row>
    <row r="104" spans="4:24" ht="12.75" customHeight="1" x14ac:dyDescent="0.25">
      <c r="D104" s="138"/>
      <c r="E104" s="138"/>
      <c r="L104" s="138"/>
      <c r="O104" s="138"/>
      <c r="R104" s="138"/>
      <c r="U104" s="138"/>
      <c r="X104" s="138"/>
    </row>
    <row r="105" spans="4:24" ht="12.75" customHeight="1" x14ac:dyDescent="0.25">
      <c r="D105" s="138"/>
      <c r="E105" s="138"/>
      <c r="L105" s="138"/>
      <c r="O105" s="138"/>
      <c r="R105" s="138"/>
      <c r="U105" s="138"/>
      <c r="X105" s="138"/>
    </row>
    <row r="106" spans="4:24" ht="12.75" customHeight="1" x14ac:dyDescent="0.25">
      <c r="D106" s="138"/>
      <c r="E106" s="138"/>
      <c r="L106" s="138"/>
      <c r="O106" s="138"/>
      <c r="R106" s="138"/>
      <c r="U106" s="138"/>
      <c r="X106" s="138"/>
    </row>
    <row r="107" spans="4:24" ht="12.75" customHeight="1" x14ac:dyDescent="0.25">
      <c r="D107" s="138"/>
      <c r="E107" s="138"/>
      <c r="L107" s="138"/>
      <c r="O107" s="138"/>
      <c r="R107" s="138"/>
      <c r="U107" s="138"/>
      <c r="X107" s="138"/>
    </row>
    <row r="108" spans="4:24" ht="12.75" customHeight="1" x14ac:dyDescent="0.25">
      <c r="D108" s="138"/>
      <c r="E108" s="138"/>
      <c r="L108" s="138"/>
      <c r="O108" s="138"/>
      <c r="R108" s="138"/>
      <c r="U108" s="138"/>
      <c r="X108" s="138"/>
    </row>
    <row r="109" spans="4:24" ht="12.75" customHeight="1" x14ac:dyDescent="0.25">
      <c r="D109" s="138"/>
      <c r="E109" s="138"/>
      <c r="L109" s="138"/>
      <c r="O109" s="138"/>
      <c r="R109" s="138"/>
      <c r="U109" s="138"/>
      <c r="X109" s="138"/>
    </row>
    <row r="110" spans="4:24" ht="12.75" customHeight="1" x14ac:dyDescent="0.25">
      <c r="D110" s="138"/>
      <c r="E110" s="138"/>
      <c r="L110" s="138"/>
      <c r="O110" s="138"/>
      <c r="R110" s="138"/>
      <c r="U110" s="138"/>
      <c r="X110" s="138"/>
    </row>
    <row r="111" spans="4:24" ht="12.75" customHeight="1" x14ac:dyDescent="0.25">
      <c r="D111" s="138"/>
      <c r="E111" s="138"/>
      <c r="L111" s="138"/>
      <c r="O111" s="138"/>
      <c r="R111" s="138"/>
      <c r="U111" s="138"/>
      <c r="X111" s="138"/>
    </row>
    <row r="112" spans="4:24" ht="12.75" customHeight="1" x14ac:dyDescent="0.25">
      <c r="D112" s="138"/>
      <c r="E112" s="138"/>
      <c r="L112" s="138"/>
      <c r="O112" s="138"/>
      <c r="R112" s="138"/>
      <c r="U112" s="138"/>
      <c r="X112" s="138"/>
    </row>
    <row r="113" spans="4:24" ht="12.75" customHeight="1" x14ac:dyDescent="0.25">
      <c r="D113" s="138"/>
      <c r="E113" s="138"/>
      <c r="L113" s="138"/>
      <c r="O113" s="138"/>
      <c r="R113" s="138"/>
      <c r="U113" s="138"/>
      <c r="X113" s="138"/>
    </row>
    <row r="114" spans="4:24" ht="12.75" customHeight="1" x14ac:dyDescent="0.25">
      <c r="D114" s="138"/>
      <c r="E114" s="138"/>
      <c r="L114" s="138"/>
      <c r="O114" s="138"/>
      <c r="R114" s="138"/>
      <c r="U114" s="138"/>
      <c r="X114" s="138"/>
    </row>
    <row r="115" spans="4:24" ht="12.75" customHeight="1" x14ac:dyDescent="0.25">
      <c r="D115" s="138"/>
      <c r="E115" s="138"/>
      <c r="L115" s="138"/>
      <c r="O115" s="138"/>
      <c r="R115" s="138"/>
      <c r="U115" s="138"/>
      <c r="X115" s="138"/>
    </row>
    <row r="116" spans="4:24" ht="12.75" customHeight="1" x14ac:dyDescent="0.25">
      <c r="D116" s="138"/>
      <c r="E116" s="138"/>
      <c r="L116" s="138"/>
      <c r="O116" s="138"/>
      <c r="R116" s="138"/>
      <c r="U116" s="138"/>
      <c r="X116" s="138"/>
    </row>
    <row r="117" spans="4:24" ht="12.75" customHeight="1" x14ac:dyDescent="0.25">
      <c r="D117" s="138"/>
      <c r="E117" s="138"/>
      <c r="L117" s="138"/>
      <c r="O117" s="138"/>
      <c r="R117" s="138"/>
      <c r="U117" s="138"/>
      <c r="X117" s="138"/>
    </row>
    <row r="118" spans="4:24" ht="12.75" customHeight="1" x14ac:dyDescent="0.25">
      <c r="D118" s="138"/>
      <c r="E118" s="138"/>
      <c r="L118" s="138"/>
      <c r="O118" s="138"/>
      <c r="R118" s="138"/>
      <c r="U118" s="138"/>
      <c r="X118" s="138"/>
    </row>
    <row r="119" spans="4:24" ht="12.75" customHeight="1" x14ac:dyDescent="0.25">
      <c r="D119" s="138"/>
      <c r="E119" s="138"/>
      <c r="L119" s="138"/>
      <c r="O119" s="138"/>
      <c r="R119" s="138"/>
      <c r="U119" s="138"/>
      <c r="X119" s="138"/>
    </row>
    <row r="120" spans="4:24" ht="12.75" customHeight="1" x14ac:dyDescent="0.25">
      <c r="D120" s="138"/>
      <c r="E120" s="138"/>
      <c r="L120" s="138"/>
      <c r="O120" s="138"/>
      <c r="R120" s="138"/>
      <c r="U120" s="138"/>
      <c r="X120" s="138"/>
    </row>
    <row r="121" spans="4:24" ht="12.75" customHeight="1" x14ac:dyDescent="0.25">
      <c r="D121" s="138"/>
      <c r="E121" s="138"/>
      <c r="L121" s="138"/>
      <c r="O121" s="138"/>
      <c r="R121" s="138"/>
      <c r="U121" s="138"/>
      <c r="X121" s="138"/>
    </row>
    <row r="122" spans="4:24" ht="12.75" customHeight="1" x14ac:dyDescent="0.25">
      <c r="D122" s="138"/>
      <c r="E122" s="138"/>
      <c r="L122" s="138"/>
      <c r="O122" s="138"/>
      <c r="R122" s="138"/>
      <c r="U122" s="138"/>
      <c r="X122" s="138"/>
    </row>
    <row r="123" spans="4:24" ht="12.75" customHeight="1" x14ac:dyDescent="0.25">
      <c r="D123" s="138"/>
      <c r="E123" s="138"/>
      <c r="L123" s="138"/>
      <c r="O123" s="138"/>
      <c r="R123" s="138"/>
      <c r="U123" s="138"/>
      <c r="X123" s="138"/>
    </row>
    <row r="124" spans="4:24" ht="12.75" customHeight="1" x14ac:dyDescent="0.25">
      <c r="D124" s="138"/>
      <c r="E124" s="138"/>
      <c r="L124" s="138"/>
      <c r="O124" s="138"/>
      <c r="R124" s="138"/>
      <c r="U124" s="138"/>
      <c r="X124" s="138"/>
    </row>
    <row r="125" spans="4:24" ht="12.75" customHeight="1" x14ac:dyDescent="0.25">
      <c r="D125" s="138"/>
      <c r="E125" s="138"/>
      <c r="L125" s="138"/>
      <c r="O125" s="138"/>
      <c r="R125" s="138"/>
      <c r="U125" s="138"/>
      <c r="X125" s="138"/>
    </row>
    <row r="126" spans="4:24" ht="12.75" customHeight="1" x14ac:dyDescent="0.25">
      <c r="D126" s="138"/>
      <c r="E126" s="138"/>
      <c r="L126" s="138"/>
      <c r="O126" s="138"/>
      <c r="R126" s="138"/>
      <c r="U126" s="138"/>
      <c r="X126" s="138"/>
    </row>
    <row r="127" spans="4:24" ht="12.75" customHeight="1" x14ac:dyDescent="0.25">
      <c r="D127" s="138"/>
      <c r="E127" s="138"/>
      <c r="L127" s="138"/>
      <c r="O127" s="138"/>
      <c r="R127" s="138"/>
      <c r="U127" s="138"/>
      <c r="X127" s="138"/>
    </row>
    <row r="128" spans="4:24" ht="12.75" customHeight="1" x14ac:dyDescent="0.25">
      <c r="D128" s="138"/>
      <c r="E128" s="138"/>
      <c r="L128" s="138"/>
      <c r="O128" s="138"/>
      <c r="R128" s="138"/>
      <c r="U128" s="138"/>
      <c r="X128" s="138"/>
    </row>
    <row r="129" spans="4:24" ht="12.75" customHeight="1" x14ac:dyDescent="0.25">
      <c r="D129" s="138"/>
      <c r="E129" s="138"/>
      <c r="L129" s="138"/>
      <c r="O129" s="138"/>
      <c r="R129" s="138"/>
      <c r="U129" s="138"/>
      <c r="X129" s="138"/>
    </row>
    <row r="130" spans="4:24" ht="12.75" customHeight="1" x14ac:dyDescent="0.25">
      <c r="D130" s="138"/>
      <c r="E130" s="138"/>
      <c r="L130" s="138"/>
      <c r="O130" s="138"/>
      <c r="R130" s="138"/>
      <c r="U130" s="138"/>
      <c r="X130" s="138"/>
    </row>
    <row r="131" spans="4:24" ht="12.75" customHeight="1" x14ac:dyDescent="0.25">
      <c r="D131" s="138"/>
      <c r="E131" s="138"/>
      <c r="L131" s="138"/>
      <c r="O131" s="138"/>
      <c r="R131" s="138"/>
      <c r="U131" s="138"/>
      <c r="X131" s="138"/>
    </row>
    <row r="132" spans="4:24" ht="12.75" customHeight="1" x14ac:dyDescent="0.25">
      <c r="D132" s="138"/>
      <c r="E132" s="138"/>
      <c r="L132" s="138"/>
      <c r="O132" s="138"/>
      <c r="R132" s="138"/>
      <c r="U132" s="138"/>
      <c r="X132" s="138"/>
    </row>
    <row r="133" spans="4:24" ht="12.75" customHeight="1" x14ac:dyDescent="0.25">
      <c r="D133" s="138"/>
      <c r="E133" s="138"/>
      <c r="L133" s="138"/>
      <c r="O133" s="138"/>
      <c r="R133" s="138"/>
      <c r="U133" s="138"/>
      <c r="X133" s="138"/>
    </row>
    <row r="134" spans="4:24" ht="12.75" customHeight="1" x14ac:dyDescent="0.25">
      <c r="D134" s="138"/>
      <c r="E134" s="138"/>
      <c r="L134" s="138"/>
      <c r="O134" s="138"/>
      <c r="R134" s="138"/>
      <c r="U134" s="138"/>
      <c r="X134" s="138"/>
    </row>
    <row r="135" spans="4:24" ht="12.75" customHeight="1" x14ac:dyDescent="0.25">
      <c r="D135" s="138"/>
      <c r="E135" s="138"/>
      <c r="L135" s="138"/>
      <c r="O135" s="138"/>
      <c r="R135" s="138"/>
      <c r="U135" s="138"/>
      <c r="X135" s="138"/>
    </row>
    <row r="136" spans="4:24" ht="12.75" customHeight="1" x14ac:dyDescent="0.25">
      <c r="D136" s="138"/>
      <c r="E136" s="138"/>
      <c r="L136" s="138"/>
      <c r="O136" s="138"/>
      <c r="R136" s="138"/>
      <c r="U136" s="138"/>
      <c r="X136" s="138"/>
    </row>
    <row r="137" spans="4:24" ht="12.75" customHeight="1" x14ac:dyDescent="0.25">
      <c r="D137" s="138"/>
      <c r="E137" s="138"/>
      <c r="L137" s="138"/>
      <c r="O137" s="138"/>
      <c r="R137" s="138"/>
      <c r="U137" s="138"/>
      <c r="X137" s="138"/>
    </row>
    <row r="138" spans="4:24" ht="12.75" customHeight="1" x14ac:dyDescent="0.25">
      <c r="D138" s="138"/>
      <c r="E138" s="138"/>
      <c r="L138" s="138"/>
      <c r="O138" s="138"/>
      <c r="R138" s="138"/>
      <c r="U138" s="138"/>
      <c r="X138" s="138"/>
    </row>
    <row r="139" spans="4:24" ht="12.75" customHeight="1" x14ac:dyDescent="0.25">
      <c r="D139" s="138"/>
      <c r="E139" s="138"/>
      <c r="L139" s="138"/>
      <c r="O139" s="138"/>
      <c r="R139" s="138"/>
      <c r="U139" s="138"/>
      <c r="X139" s="138"/>
    </row>
    <row r="140" spans="4:24" ht="12.75" customHeight="1" x14ac:dyDescent="0.25">
      <c r="D140" s="138"/>
      <c r="E140" s="138"/>
      <c r="L140" s="138"/>
      <c r="O140" s="138"/>
      <c r="R140" s="138"/>
      <c r="U140" s="138"/>
      <c r="X140" s="138"/>
    </row>
    <row r="141" spans="4:24" ht="12.75" customHeight="1" x14ac:dyDescent="0.25">
      <c r="D141" s="138"/>
      <c r="E141" s="138"/>
      <c r="L141" s="138"/>
      <c r="O141" s="138"/>
      <c r="R141" s="138"/>
      <c r="U141" s="138"/>
      <c r="X141" s="138"/>
    </row>
    <row r="142" spans="4:24" ht="12.75" customHeight="1" x14ac:dyDescent="0.25">
      <c r="D142" s="138"/>
      <c r="E142" s="138"/>
      <c r="L142" s="138"/>
      <c r="O142" s="138"/>
      <c r="R142" s="138"/>
      <c r="U142" s="138"/>
      <c r="X142" s="138"/>
    </row>
    <row r="143" spans="4:24" ht="12.75" customHeight="1" x14ac:dyDescent="0.25">
      <c r="D143" s="138"/>
      <c r="E143" s="138"/>
      <c r="L143" s="138"/>
      <c r="O143" s="138"/>
      <c r="R143" s="138"/>
      <c r="U143" s="138"/>
      <c r="X143" s="138"/>
    </row>
    <row r="144" spans="4:24" ht="12.75" customHeight="1" x14ac:dyDescent="0.25">
      <c r="D144" s="138"/>
      <c r="E144" s="138"/>
      <c r="L144" s="138"/>
      <c r="O144" s="138"/>
      <c r="R144" s="138"/>
      <c r="U144" s="138"/>
      <c r="X144" s="138"/>
    </row>
    <row r="145" spans="4:24" ht="12.75" customHeight="1" x14ac:dyDescent="0.25">
      <c r="D145" s="138"/>
      <c r="E145" s="138"/>
      <c r="L145" s="138"/>
      <c r="O145" s="138"/>
      <c r="R145" s="138"/>
      <c r="U145" s="138"/>
      <c r="X145" s="138"/>
    </row>
    <row r="146" spans="4:24" ht="12.75" customHeight="1" x14ac:dyDescent="0.25">
      <c r="D146" s="138"/>
      <c r="E146" s="138"/>
      <c r="L146" s="138"/>
      <c r="O146" s="138"/>
      <c r="R146" s="138"/>
      <c r="U146" s="138"/>
      <c r="X146" s="138"/>
    </row>
    <row r="147" spans="4:24" ht="12.75" customHeight="1" x14ac:dyDescent="0.25">
      <c r="D147" s="138"/>
      <c r="E147" s="138"/>
      <c r="L147" s="138"/>
      <c r="O147" s="138"/>
      <c r="R147" s="138"/>
      <c r="U147" s="138"/>
      <c r="X147" s="138"/>
    </row>
    <row r="148" spans="4:24" ht="12.75" customHeight="1" x14ac:dyDescent="0.25">
      <c r="D148" s="138"/>
      <c r="E148" s="138"/>
      <c r="L148" s="138"/>
      <c r="O148" s="138"/>
      <c r="R148" s="138"/>
      <c r="U148" s="138"/>
      <c r="X148" s="138"/>
    </row>
    <row r="149" spans="4:24" ht="12.75" customHeight="1" x14ac:dyDescent="0.25">
      <c r="D149" s="138"/>
      <c r="E149" s="138"/>
      <c r="L149" s="138"/>
      <c r="O149" s="138"/>
      <c r="R149" s="138"/>
      <c r="U149" s="138"/>
      <c r="X149" s="138"/>
    </row>
    <row r="150" spans="4:24" ht="12.75" customHeight="1" x14ac:dyDescent="0.25">
      <c r="D150" s="138"/>
      <c r="E150" s="138"/>
      <c r="L150" s="138"/>
      <c r="O150" s="138"/>
      <c r="R150" s="138"/>
      <c r="U150" s="138"/>
      <c r="X150" s="138"/>
    </row>
    <row r="151" spans="4:24" ht="12.75" customHeight="1" x14ac:dyDescent="0.25">
      <c r="D151" s="138"/>
      <c r="E151" s="138"/>
      <c r="L151" s="138"/>
      <c r="O151" s="138"/>
      <c r="R151" s="138"/>
      <c r="U151" s="138"/>
      <c r="X151" s="138"/>
    </row>
    <row r="152" spans="4:24" ht="12.75" customHeight="1" x14ac:dyDescent="0.25">
      <c r="D152" s="138"/>
      <c r="E152" s="138"/>
      <c r="L152" s="138"/>
      <c r="O152" s="138"/>
      <c r="R152" s="138"/>
      <c r="U152" s="138"/>
      <c r="X152" s="138"/>
    </row>
    <row r="153" spans="4:24" ht="12.75" customHeight="1" x14ac:dyDescent="0.25">
      <c r="D153" s="138"/>
      <c r="E153" s="138"/>
      <c r="L153" s="138"/>
      <c r="O153" s="138"/>
      <c r="R153" s="138"/>
      <c r="U153" s="138"/>
      <c r="X153" s="138"/>
    </row>
    <row r="154" spans="4:24" ht="12.75" customHeight="1" x14ac:dyDescent="0.25">
      <c r="D154" s="138"/>
      <c r="E154" s="138"/>
      <c r="L154" s="138"/>
      <c r="O154" s="138"/>
      <c r="R154" s="138"/>
      <c r="U154" s="138"/>
      <c r="X154" s="138"/>
    </row>
    <row r="155" spans="4:24" ht="12.75" customHeight="1" x14ac:dyDescent="0.25">
      <c r="D155" s="138"/>
      <c r="E155" s="138"/>
      <c r="L155" s="138"/>
      <c r="O155" s="138"/>
      <c r="R155" s="138"/>
      <c r="U155" s="138"/>
      <c r="X155" s="138"/>
    </row>
    <row r="156" spans="4:24" ht="12.75" customHeight="1" x14ac:dyDescent="0.25">
      <c r="D156" s="138"/>
      <c r="E156" s="138"/>
      <c r="L156" s="138"/>
      <c r="O156" s="138"/>
      <c r="R156" s="138"/>
      <c r="U156" s="138"/>
      <c r="X156" s="138"/>
    </row>
    <row r="157" spans="4:24" ht="12.75" customHeight="1" x14ac:dyDescent="0.25">
      <c r="D157" s="138"/>
      <c r="E157" s="138"/>
      <c r="L157" s="138"/>
      <c r="O157" s="138"/>
      <c r="R157" s="138"/>
      <c r="U157" s="138"/>
      <c r="X157" s="138"/>
    </row>
    <row r="158" spans="4:24" ht="12.75" customHeight="1" x14ac:dyDescent="0.25">
      <c r="D158" s="138"/>
      <c r="E158" s="138"/>
      <c r="L158" s="138"/>
      <c r="O158" s="138"/>
      <c r="R158" s="138"/>
      <c r="U158" s="138"/>
      <c r="X158" s="138"/>
    </row>
    <row r="159" spans="4:24" ht="12.75" customHeight="1" x14ac:dyDescent="0.25">
      <c r="D159" s="138"/>
      <c r="E159" s="138"/>
      <c r="L159" s="138"/>
      <c r="O159" s="138"/>
      <c r="R159" s="138"/>
      <c r="U159" s="138"/>
      <c r="X159" s="138"/>
    </row>
    <row r="160" spans="4:24" ht="12.75" customHeight="1" x14ac:dyDescent="0.25">
      <c r="D160" s="138"/>
      <c r="E160" s="138"/>
      <c r="L160" s="138"/>
      <c r="O160" s="138"/>
      <c r="R160" s="138"/>
      <c r="U160" s="138"/>
      <c r="X160" s="138"/>
    </row>
    <row r="161" spans="4:24" ht="12.75" customHeight="1" x14ac:dyDescent="0.25">
      <c r="D161" s="138"/>
      <c r="E161" s="138"/>
      <c r="L161" s="138"/>
      <c r="O161" s="138"/>
      <c r="R161" s="138"/>
      <c r="U161" s="138"/>
      <c r="X161" s="138"/>
    </row>
    <row r="162" spans="4:24" ht="12.75" customHeight="1" x14ac:dyDescent="0.25">
      <c r="D162" s="138"/>
      <c r="E162" s="138"/>
      <c r="L162" s="138"/>
      <c r="O162" s="138"/>
      <c r="R162" s="138"/>
      <c r="U162" s="138"/>
      <c r="X162" s="138"/>
    </row>
    <row r="163" spans="4:24" ht="12.75" customHeight="1" x14ac:dyDescent="0.25">
      <c r="D163" s="138"/>
      <c r="E163" s="138"/>
      <c r="L163" s="138"/>
      <c r="O163" s="138"/>
      <c r="R163" s="138"/>
      <c r="U163" s="138"/>
      <c r="X163" s="138"/>
    </row>
    <row r="164" spans="4:24" ht="12.75" customHeight="1" x14ac:dyDescent="0.25">
      <c r="D164" s="138"/>
      <c r="E164" s="138"/>
      <c r="L164" s="138"/>
      <c r="O164" s="138"/>
      <c r="R164" s="138"/>
      <c r="U164" s="138"/>
      <c r="X164" s="138"/>
    </row>
    <row r="165" spans="4:24" ht="12.75" customHeight="1" x14ac:dyDescent="0.25">
      <c r="D165" s="138"/>
      <c r="E165" s="138"/>
      <c r="L165" s="138"/>
      <c r="O165" s="138"/>
      <c r="R165" s="138"/>
      <c r="U165" s="138"/>
      <c r="X165" s="138"/>
    </row>
    <row r="166" spans="4:24" ht="12.75" customHeight="1" x14ac:dyDescent="0.25">
      <c r="D166" s="138"/>
      <c r="E166" s="138"/>
      <c r="L166" s="138"/>
      <c r="O166" s="138"/>
      <c r="R166" s="138"/>
      <c r="U166" s="138"/>
      <c r="X166" s="138"/>
    </row>
    <row r="167" spans="4:24" ht="12.75" customHeight="1" x14ac:dyDescent="0.25">
      <c r="D167" s="138"/>
      <c r="E167" s="138"/>
      <c r="L167" s="138"/>
      <c r="O167" s="138"/>
      <c r="R167" s="138"/>
      <c r="U167" s="138"/>
      <c r="X167" s="138"/>
    </row>
    <row r="168" spans="4:24" ht="12.75" customHeight="1" x14ac:dyDescent="0.25">
      <c r="D168" s="138"/>
      <c r="E168" s="138"/>
      <c r="L168" s="138"/>
      <c r="O168" s="138"/>
      <c r="R168" s="138"/>
      <c r="U168" s="138"/>
      <c r="X168" s="138"/>
    </row>
    <row r="169" spans="4:24" ht="12.75" customHeight="1" x14ac:dyDescent="0.25">
      <c r="D169" s="138"/>
      <c r="E169" s="138"/>
      <c r="L169" s="138"/>
      <c r="O169" s="138"/>
      <c r="R169" s="138"/>
      <c r="U169" s="138"/>
      <c r="X169" s="138"/>
    </row>
    <row r="170" spans="4:24" ht="12.75" customHeight="1" x14ac:dyDescent="0.25">
      <c r="D170" s="138"/>
      <c r="E170" s="138"/>
      <c r="L170" s="138"/>
      <c r="O170" s="138"/>
      <c r="R170" s="138"/>
      <c r="U170" s="138"/>
      <c r="X170" s="138"/>
    </row>
    <row r="171" spans="4:24" ht="12.75" customHeight="1" x14ac:dyDescent="0.25">
      <c r="D171" s="138"/>
      <c r="E171" s="138"/>
      <c r="L171" s="138"/>
      <c r="O171" s="138"/>
      <c r="R171" s="138"/>
      <c r="U171" s="138"/>
      <c r="X171" s="138"/>
    </row>
    <row r="172" spans="4:24" ht="12.75" customHeight="1" x14ac:dyDescent="0.25">
      <c r="D172" s="138"/>
      <c r="E172" s="138"/>
      <c r="L172" s="138"/>
      <c r="O172" s="138"/>
      <c r="R172" s="138"/>
      <c r="U172" s="138"/>
      <c r="X172" s="138"/>
    </row>
    <row r="173" spans="4:24" ht="12.75" customHeight="1" x14ac:dyDescent="0.25">
      <c r="D173" s="138"/>
      <c r="E173" s="138"/>
      <c r="L173" s="138"/>
      <c r="O173" s="138"/>
      <c r="R173" s="138"/>
      <c r="U173" s="138"/>
      <c r="X173" s="138"/>
    </row>
    <row r="174" spans="4:24" ht="12.75" customHeight="1" x14ac:dyDescent="0.25">
      <c r="D174" s="138"/>
      <c r="E174" s="138"/>
      <c r="L174" s="138"/>
      <c r="O174" s="138"/>
      <c r="R174" s="138"/>
      <c r="U174" s="138"/>
      <c r="X174" s="138"/>
    </row>
    <row r="175" spans="4:24" ht="12.75" customHeight="1" x14ac:dyDescent="0.25">
      <c r="D175" s="138"/>
      <c r="E175" s="138"/>
      <c r="L175" s="138"/>
      <c r="O175" s="138"/>
      <c r="R175" s="138"/>
      <c r="U175" s="138"/>
      <c r="X175" s="138"/>
    </row>
    <row r="176" spans="4:24" ht="12.75" customHeight="1" x14ac:dyDescent="0.25">
      <c r="D176" s="138"/>
      <c r="E176" s="138"/>
      <c r="L176" s="138"/>
      <c r="O176" s="138"/>
      <c r="R176" s="138"/>
      <c r="U176" s="138"/>
      <c r="X176" s="138"/>
    </row>
    <row r="177" spans="4:24" ht="12.75" customHeight="1" x14ac:dyDescent="0.25">
      <c r="D177" s="138"/>
      <c r="E177" s="138"/>
      <c r="L177" s="138"/>
      <c r="O177" s="138"/>
      <c r="R177" s="138"/>
      <c r="U177" s="138"/>
      <c r="X177" s="138"/>
    </row>
    <row r="178" spans="4:24" ht="12.75" customHeight="1" x14ac:dyDescent="0.25">
      <c r="D178" s="138"/>
      <c r="E178" s="138"/>
      <c r="L178" s="138"/>
      <c r="O178" s="138"/>
      <c r="R178" s="138"/>
      <c r="U178" s="138"/>
      <c r="X178" s="138"/>
    </row>
    <row r="179" spans="4:24" ht="12.75" customHeight="1" x14ac:dyDescent="0.25">
      <c r="D179" s="138"/>
      <c r="E179" s="138"/>
      <c r="L179" s="138"/>
      <c r="O179" s="138"/>
      <c r="R179" s="138"/>
      <c r="U179" s="138"/>
      <c r="X179" s="138"/>
    </row>
    <row r="180" spans="4:24" ht="12.75" customHeight="1" x14ac:dyDescent="0.25">
      <c r="D180" s="138"/>
      <c r="E180" s="138"/>
      <c r="L180" s="138"/>
      <c r="O180" s="138"/>
      <c r="R180" s="138"/>
      <c r="U180" s="138"/>
      <c r="X180" s="138"/>
    </row>
    <row r="181" spans="4:24" ht="12.75" customHeight="1" x14ac:dyDescent="0.25">
      <c r="D181" s="138"/>
      <c r="E181" s="138"/>
      <c r="L181" s="138"/>
      <c r="O181" s="138"/>
      <c r="R181" s="138"/>
      <c r="U181" s="138"/>
      <c r="X181" s="138"/>
    </row>
    <row r="182" spans="4:24" ht="12.75" customHeight="1" x14ac:dyDescent="0.25">
      <c r="D182" s="138"/>
      <c r="E182" s="138"/>
      <c r="L182" s="138"/>
      <c r="O182" s="138"/>
      <c r="R182" s="138"/>
      <c r="U182" s="138"/>
      <c r="X182" s="138"/>
    </row>
    <row r="183" spans="4:24" ht="12.75" customHeight="1" x14ac:dyDescent="0.25">
      <c r="D183" s="138"/>
      <c r="E183" s="138"/>
      <c r="L183" s="138"/>
      <c r="O183" s="138"/>
      <c r="R183" s="138"/>
      <c r="U183" s="138"/>
      <c r="X183" s="138"/>
    </row>
    <row r="184" spans="4:24" ht="12.75" customHeight="1" x14ac:dyDescent="0.25">
      <c r="D184" s="138"/>
      <c r="E184" s="138"/>
      <c r="L184" s="138"/>
      <c r="O184" s="138"/>
      <c r="R184" s="138"/>
      <c r="U184" s="138"/>
      <c r="X184" s="138"/>
    </row>
    <row r="185" spans="4:24" ht="12.75" customHeight="1" x14ac:dyDescent="0.25">
      <c r="D185" s="138"/>
      <c r="E185" s="138"/>
      <c r="L185" s="138"/>
      <c r="O185" s="138"/>
      <c r="R185" s="138"/>
      <c r="U185" s="138"/>
      <c r="X185" s="138"/>
    </row>
    <row r="186" spans="4:24" ht="12.75" customHeight="1" x14ac:dyDescent="0.25">
      <c r="D186" s="138"/>
      <c r="E186" s="138"/>
      <c r="L186" s="138"/>
      <c r="O186" s="138"/>
      <c r="R186" s="138"/>
      <c r="U186" s="138"/>
      <c r="X186" s="138"/>
    </row>
    <row r="187" spans="4:24" ht="12.75" customHeight="1" x14ac:dyDescent="0.25">
      <c r="D187" s="138"/>
      <c r="E187" s="138"/>
      <c r="L187" s="138"/>
      <c r="O187" s="138"/>
      <c r="R187" s="138"/>
      <c r="U187" s="138"/>
      <c r="X187" s="138"/>
    </row>
    <row r="188" spans="4:24" ht="12.75" customHeight="1" x14ac:dyDescent="0.25">
      <c r="D188" s="138"/>
      <c r="E188" s="138"/>
      <c r="L188" s="138"/>
      <c r="O188" s="138"/>
      <c r="R188" s="138"/>
      <c r="U188" s="138"/>
      <c r="X188" s="138"/>
    </row>
    <row r="189" spans="4:24" ht="12.75" customHeight="1" x14ac:dyDescent="0.25">
      <c r="D189" s="138"/>
      <c r="E189" s="138"/>
      <c r="L189" s="138"/>
      <c r="O189" s="138"/>
      <c r="R189" s="138"/>
      <c r="U189" s="138"/>
      <c r="X189" s="138"/>
    </row>
    <row r="190" spans="4:24" ht="12.75" customHeight="1" x14ac:dyDescent="0.25">
      <c r="D190" s="138"/>
      <c r="E190" s="138"/>
      <c r="L190" s="138"/>
      <c r="O190" s="138"/>
      <c r="R190" s="138"/>
      <c r="U190" s="138"/>
      <c r="X190" s="138"/>
    </row>
    <row r="191" spans="4:24" ht="12.75" customHeight="1" x14ac:dyDescent="0.25">
      <c r="D191" s="138"/>
      <c r="E191" s="138"/>
      <c r="L191" s="138"/>
      <c r="O191" s="138"/>
      <c r="R191" s="138"/>
      <c r="U191" s="138"/>
      <c r="X191" s="138"/>
    </row>
    <row r="192" spans="4:24" ht="12.75" customHeight="1" x14ac:dyDescent="0.25">
      <c r="D192" s="138"/>
      <c r="E192" s="138"/>
      <c r="L192" s="138"/>
      <c r="O192" s="138"/>
      <c r="R192" s="138"/>
      <c r="U192" s="138"/>
      <c r="X192" s="138"/>
    </row>
    <row r="193" spans="4:24" ht="12.75" customHeight="1" x14ac:dyDescent="0.25">
      <c r="D193" s="138"/>
      <c r="E193" s="138"/>
      <c r="L193" s="138"/>
      <c r="O193" s="138"/>
      <c r="R193" s="138"/>
      <c r="U193" s="138"/>
      <c r="X193" s="138"/>
    </row>
    <row r="194" spans="4:24" ht="12.75" customHeight="1" x14ac:dyDescent="0.25">
      <c r="D194" s="138"/>
      <c r="E194" s="138"/>
      <c r="L194" s="138"/>
      <c r="O194" s="138"/>
      <c r="R194" s="138"/>
      <c r="U194" s="138"/>
      <c r="X194" s="138"/>
    </row>
    <row r="195" spans="4:24" ht="12.75" customHeight="1" x14ac:dyDescent="0.25">
      <c r="D195" s="138"/>
      <c r="E195" s="138"/>
      <c r="L195" s="138"/>
      <c r="O195" s="138"/>
      <c r="R195" s="138"/>
      <c r="U195" s="138"/>
      <c r="X195" s="138"/>
    </row>
    <row r="196" spans="4:24" ht="12.75" customHeight="1" x14ac:dyDescent="0.25">
      <c r="D196" s="138"/>
      <c r="E196" s="138"/>
      <c r="L196" s="138"/>
      <c r="O196" s="138"/>
      <c r="R196" s="138"/>
      <c r="U196" s="138"/>
      <c r="X196" s="138"/>
    </row>
    <row r="197" spans="4:24" ht="12.75" customHeight="1" x14ac:dyDescent="0.25">
      <c r="D197" s="138"/>
      <c r="E197" s="138"/>
      <c r="L197" s="138"/>
      <c r="O197" s="138"/>
      <c r="R197" s="138"/>
      <c r="U197" s="138"/>
      <c r="X197" s="138"/>
    </row>
    <row r="198" spans="4:24" ht="12.75" customHeight="1" x14ac:dyDescent="0.25">
      <c r="D198" s="138"/>
      <c r="E198" s="138"/>
      <c r="L198" s="138"/>
      <c r="O198" s="138"/>
      <c r="R198" s="138"/>
      <c r="U198" s="138"/>
      <c r="X198" s="138"/>
    </row>
    <row r="199" spans="4:24" ht="12.75" customHeight="1" x14ac:dyDescent="0.25">
      <c r="D199" s="138"/>
      <c r="E199" s="138"/>
      <c r="L199" s="138"/>
      <c r="O199" s="138"/>
      <c r="R199" s="138"/>
      <c r="U199" s="138"/>
      <c r="X199" s="138"/>
    </row>
    <row r="200" spans="4:24" ht="12.75" customHeight="1" x14ac:dyDescent="0.25">
      <c r="D200" s="138"/>
      <c r="E200" s="138"/>
      <c r="L200" s="138"/>
      <c r="O200" s="138"/>
      <c r="R200" s="138"/>
      <c r="U200" s="138"/>
      <c r="X200" s="138"/>
    </row>
    <row r="201" spans="4:24" ht="12.75" customHeight="1" x14ac:dyDescent="0.25">
      <c r="D201" s="138"/>
      <c r="E201" s="138"/>
      <c r="L201" s="138"/>
      <c r="O201" s="138"/>
      <c r="R201" s="138"/>
      <c r="U201" s="138"/>
      <c r="X201" s="138"/>
    </row>
    <row r="202" spans="4:24" ht="12.75" customHeight="1" x14ac:dyDescent="0.25">
      <c r="D202" s="138"/>
      <c r="E202" s="138"/>
      <c r="L202" s="138"/>
      <c r="O202" s="138"/>
      <c r="R202" s="138"/>
      <c r="U202" s="138"/>
      <c r="X202" s="138"/>
    </row>
    <row r="203" spans="4:24" ht="12.75" customHeight="1" x14ac:dyDescent="0.25">
      <c r="D203" s="138"/>
      <c r="E203" s="138"/>
      <c r="L203" s="138"/>
      <c r="O203" s="138"/>
      <c r="R203" s="138"/>
      <c r="U203" s="138"/>
      <c r="X203" s="138"/>
    </row>
    <row r="204" spans="4:24" ht="12.75" customHeight="1" x14ac:dyDescent="0.25">
      <c r="D204" s="138"/>
      <c r="E204" s="138"/>
      <c r="L204" s="138"/>
      <c r="O204" s="138"/>
      <c r="R204" s="138"/>
      <c r="U204" s="138"/>
      <c r="X204" s="138"/>
    </row>
    <row r="205" spans="4:24" ht="12.75" customHeight="1" x14ac:dyDescent="0.25">
      <c r="D205" s="138"/>
      <c r="E205" s="138"/>
      <c r="L205" s="138"/>
      <c r="O205" s="138"/>
      <c r="R205" s="138"/>
      <c r="U205" s="138"/>
      <c r="X205" s="138"/>
    </row>
    <row r="206" spans="4:24" ht="12.75" customHeight="1" x14ac:dyDescent="0.25">
      <c r="D206" s="138"/>
      <c r="E206" s="138"/>
      <c r="L206" s="138"/>
      <c r="O206" s="138"/>
      <c r="R206" s="138"/>
      <c r="U206" s="138"/>
      <c r="X206" s="138"/>
    </row>
    <row r="207" spans="4:24" ht="12.75" customHeight="1" x14ac:dyDescent="0.25">
      <c r="D207" s="138"/>
      <c r="E207" s="138"/>
      <c r="L207" s="138"/>
      <c r="O207" s="138"/>
      <c r="R207" s="138"/>
      <c r="U207" s="138"/>
      <c r="X207" s="138"/>
    </row>
    <row r="208" spans="4:24" ht="12.75" customHeight="1" x14ac:dyDescent="0.25">
      <c r="D208" s="138"/>
      <c r="E208" s="138"/>
      <c r="L208" s="138"/>
      <c r="O208" s="138"/>
      <c r="R208" s="138"/>
      <c r="U208" s="138"/>
      <c r="X208" s="138"/>
    </row>
    <row r="209" spans="4:24" ht="12.75" customHeight="1" x14ac:dyDescent="0.25">
      <c r="D209" s="138"/>
      <c r="E209" s="138"/>
      <c r="L209" s="138"/>
      <c r="O209" s="138"/>
      <c r="R209" s="138"/>
      <c r="U209" s="138"/>
      <c r="X209" s="138"/>
    </row>
    <row r="210" spans="4:24" ht="12.75" customHeight="1" x14ac:dyDescent="0.25">
      <c r="D210" s="138"/>
      <c r="E210" s="138"/>
      <c r="L210" s="138"/>
      <c r="O210" s="138"/>
      <c r="R210" s="138"/>
      <c r="U210" s="138"/>
      <c r="X210" s="138"/>
    </row>
    <row r="211" spans="4:24" ht="12.75" customHeight="1" x14ac:dyDescent="0.25">
      <c r="D211" s="138"/>
      <c r="E211" s="138"/>
      <c r="L211" s="138"/>
      <c r="O211" s="138"/>
      <c r="R211" s="138"/>
      <c r="U211" s="138"/>
      <c r="X211" s="138"/>
    </row>
    <row r="212" spans="4:24" ht="12.75" customHeight="1" x14ac:dyDescent="0.25">
      <c r="D212" s="138"/>
      <c r="E212" s="138"/>
      <c r="L212" s="138"/>
      <c r="O212" s="138"/>
      <c r="R212" s="138"/>
      <c r="U212" s="138"/>
      <c r="X212" s="138"/>
    </row>
    <row r="213" spans="4:24" ht="12.75" customHeight="1" x14ac:dyDescent="0.25">
      <c r="D213" s="138"/>
      <c r="E213" s="138"/>
      <c r="L213" s="138"/>
      <c r="O213" s="138"/>
      <c r="R213" s="138"/>
      <c r="U213" s="138"/>
      <c r="X213" s="138"/>
    </row>
    <row r="214" spans="4:24" ht="12.75" customHeight="1" x14ac:dyDescent="0.25">
      <c r="D214" s="138"/>
      <c r="E214" s="138"/>
      <c r="L214" s="138"/>
      <c r="O214" s="138"/>
      <c r="R214" s="138"/>
      <c r="U214" s="138"/>
      <c r="X214" s="138"/>
    </row>
    <row r="215" spans="4:24" ht="12.75" customHeight="1" x14ac:dyDescent="0.25">
      <c r="D215" s="138"/>
      <c r="E215" s="138"/>
      <c r="L215" s="138"/>
      <c r="O215" s="138"/>
      <c r="R215" s="138"/>
      <c r="U215" s="138"/>
      <c r="X215" s="138"/>
    </row>
    <row r="216" spans="4:24" ht="12.75" customHeight="1" x14ac:dyDescent="0.25">
      <c r="D216" s="138"/>
      <c r="E216" s="138"/>
      <c r="L216" s="138"/>
      <c r="O216" s="138"/>
      <c r="R216" s="138"/>
      <c r="U216" s="138"/>
      <c r="X216" s="138"/>
    </row>
    <row r="217" spans="4:24" ht="12.75" customHeight="1" x14ac:dyDescent="0.25">
      <c r="D217" s="138"/>
      <c r="E217" s="138"/>
      <c r="L217" s="138"/>
      <c r="O217" s="138"/>
      <c r="R217" s="138"/>
      <c r="U217" s="138"/>
      <c r="X217" s="138"/>
    </row>
    <row r="218" spans="4:24" ht="12.75" customHeight="1" x14ac:dyDescent="0.25">
      <c r="D218" s="138"/>
      <c r="E218" s="138"/>
      <c r="L218" s="138"/>
      <c r="O218" s="138"/>
      <c r="R218" s="138"/>
      <c r="U218" s="138"/>
      <c r="X218" s="138"/>
    </row>
    <row r="219" spans="4:24" ht="12.75" customHeight="1" x14ac:dyDescent="0.25">
      <c r="D219" s="138"/>
      <c r="E219" s="138"/>
      <c r="L219" s="138"/>
      <c r="O219" s="138"/>
      <c r="R219" s="138"/>
      <c r="U219" s="138"/>
      <c r="X219" s="138"/>
    </row>
    <row r="220" spans="4:24" ht="12.75" customHeight="1" x14ac:dyDescent="0.25">
      <c r="D220" s="138"/>
      <c r="E220" s="138"/>
      <c r="L220" s="138"/>
      <c r="O220" s="138"/>
      <c r="R220" s="138"/>
      <c r="U220" s="138"/>
      <c r="X220" s="138"/>
    </row>
    <row r="221" spans="4:24" ht="12.75" customHeight="1" x14ac:dyDescent="0.25">
      <c r="D221" s="138"/>
      <c r="E221" s="138"/>
      <c r="L221" s="138"/>
      <c r="O221" s="138"/>
      <c r="R221" s="138"/>
      <c r="U221" s="138"/>
      <c r="X221" s="138"/>
    </row>
    <row r="222" spans="4:24" ht="12.75" customHeight="1" x14ac:dyDescent="0.25">
      <c r="D222" s="138"/>
      <c r="E222" s="138"/>
      <c r="L222" s="138"/>
      <c r="O222" s="138"/>
      <c r="R222" s="138"/>
      <c r="U222" s="138"/>
      <c r="X222" s="138"/>
    </row>
    <row r="223" spans="4:24" ht="12.75" customHeight="1" x14ac:dyDescent="0.25">
      <c r="D223" s="138"/>
      <c r="E223" s="138"/>
      <c r="L223" s="138"/>
      <c r="O223" s="138"/>
      <c r="R223" s="138"/>
      <c r="U223" s="138"/>
      <c r="X223" s="138"/>
    </row>
    <row r="224" spans="4:24" ht="12.75" customHeight="1" x14ac:dyDescent="0.25">
      <c r="D224" s="138"/>
      <c r="E224" s="138"/>
      <c r="L224" s="138"/>
      <c r="O224" s="138"/>
      <c r="R224" s="138"/>
      <c r="U224" s="138"/>
      <c r="X224" s="138"/>
    </row>
    <row r="225" spans="4:24" ht="12.75" customHeight="1" x14ac:dyDescent="0.25">
      <c r="D225" s="138"/>
      <c r="E225" s="138"/>
      <c r="L225" s="138"/>
      <c r="O225" s="138"/>
      <c r="R225" s="138"/>
      <c r="U225" s="138"/>
      <c r="X225" s="138"/>
    </row>
    <row r="226" spans="4:24" ht="12.75" customHeight="1" x14ac:dyDescent="0.25">
      <c r="D226" s="138"/>
      <c r="E226" s="138"/>
      <c r="L226" s="138"/>
      <c r="O226" s="138"/>
      <c r="R226" s="138"/>
      <c r="U226" s="138"/>
      <c r="X226" s="138"/>
    </row>
    <row r="227" spans="4:24" ht="12.75" customHeight="1" x14ac:dyDescent="0.25">
      <c r="D227" s="138"/>
      <c r="E227" s="138"/>
      <c r="L227" s="138"/>
      <c r="O227" s="138"/>
      <c r="R227" s="138"/>
      <c r="U227" s="138"/>
      <c r="X227" s="138"/>
    </row>
    <row r="228" spans="4:24" ht="12.75" customHeight="1" x14ac:dyDescent="0.25">
      <c r="D228" s="138"/>
      <c r="E228" s="138"/>
      <c r="L228" s="138"/>
      <c r="O228" s="138"/>
      <c r="R228" s="138"/>
      <c r="U228" s="138"/>
      <c r="X228" s="138"/>
    </row>
    <row r="229" spans="4:24" ht="12.75" customHeight="1" x14ac:dyDescent="0.25">
      <c r="D229" s="138"/>
      <c r="E229" s="138"/>
      <c r="L229" s="138"/>
      <c r="O229" s="138"/>
      <c r="R229" s="138"/>
      <c r="U229" s="138"/>
      <c r="X229" s="138"/>
    </row>
    <row r="230" spans="4:24" ht="12.75" customHeight="1" x14ac:dyDescent="0.25">
      <c r="D230" s="138"/>
      <c r="E230" s="138"/>
      <c r="L230" s="138"/>
      <c r="O230" s="138"/>
      <c r="R230" s="138"/>
      <c r="U230" s="138"/>
      <c r="X230" s="138"/>
    </row>
    <row r="231" spans="4:24" ht="12.75" customHeight="1" x14ac:dyDescent="0.25">
      <c r="D231" s="138"/>
      <c r="E231" s="138"/>
      <c r="L231" s="138"/>
      <c r="O231" s="138"/>
      <c r="R231" s="138"/>
      <c r="U231" s="138"/>
      <c r="X231" s="138"/>
    </row>
    <row r="232" spans="4:24" ht="12.75" customHeight="1" x14ac:dyDescent="0.25">
      <c r="D232" s="138"/>
      <c r="E232" s="138"/>
      <c r="L232" s="138"/>
      <c r="O232" s="138"/>
      <c r="R232" s="138"/>
      <c r="U232" s="138"/>
      <c r="X232" s="138"/>
    </row>
    <row r="233" spans="4:24" ht="12.75" customHeight="1" x14ac:dyDescent="0.25">
      <c r="D233" s="138"/>
      <c r="E233" s="138"/>
      <c r="L233" s="138"/>
      <c r="O233" s="138"/>
      <c r="R233" s="138"/>
      <c r="U233" s="138"/>
      <c r="X233" s="138"/>
    </row>
    <row r="234" spans="4:24" ht="12.75" customHeight="1" x14ac:dyDescent="0.25">
      <c r="D234" s="138"/>
      <c r="E234" s="138"/>
      <c r="L234" s="138"/>
      <c r="O234" s="138"/>
      <c r="R234" s="138"/>
      <c r="U234" s="138"/>
      <c r="X234" s="138"/>
    </row>
    <row r="235" spans="4:24" ht="12.75" customHeight="1" x14ac:dyDescent="0.25">
      <c r="D235" s="138"/>
      <c r="E235" s="138"/>
      <c r="L235" s="138"/>
      <c r="O235" s="138"/>
      <c r="R235" s="138"/>
      <c r="U235" s="138"/>
      <c r="X235" s="138"/>
    </row>
    <row r="236" spans="4:24" ht="12.75" customHeight="1" x14ac:dyDescent="0.25">
      <c r="D236" s="138"/>
      <c r="E236" s="138"/>
      <c r="L236" s="138"/>
      <c r="O236" s="138"/>
      <c r="R236" s="138"/>
      <c r="U236" s="138"/>
      <c r="X236" s="138"/>
    </row>
    <row r="237" spans="4:24" ht="12.75" customHeight="1" x14ac:dyDescent="0.25">
      <c r="D237" s="138"/>
      <c r="E237" s="138"/>
      <c r="L237" s="138"/>
      <c r="O237" s="138"/>
      <c r="R237" s="138"/>
      <c r="U237" s="138"/>
      <c r="X237" s="138"/>
    </row>
    <row r="238" spans="4:24" ht="12.75" customHeight="1" x14ac:dyDescent="0.25">
      <c r="D238" s="138"/>
      <c r="E238" s="138"/>
      <c r="L238" s="138"/>
      <c r="O238" s="138"/>
      <c r="R238" s="138"/>
      <c r="U238" s="138"/>
      <c r="X238" s="138"/>
    </row>
    <row r="239" spans="4:24" ht="12.75" customHeight="1" x14ac:dyDescent="0.25">
      <c r="D239" s="138"/>
      <c r="E239" s="138"/>
      <c r="L239" s="138"/>
      <c r="O239" s="138"/>
      <c r="R239" s="138"/>
      <c r="U239" s="138"/>
      <c r="X239" s="138"/>
    </row>
    <row r="240" spans="4:24" ht="12.75" customHeight="1" x14ac:dyDescent="0.25">
      <c r="D240" s="138"/>
      <c r="E240" s="138"/>
      <c r="L240" s="138"/>
      <c r="O240" s="138"/>
      <c r="R240" s="138"/>
      <c r="U240" s="138"/>
      <c r="X240" s="138"/>
    </row>
    <row r="241" spans="4:24" ht="12.75" customHeight="1" x14ac:dyDescent="0.25">
      <c r="D241" s="138"/>
      <c r="E241" s="138"/>
      <c r="L241" s="138"/>
      <c r="O241" s="138"/>
      <c r="R241" s="138"/>
      <c r="U241" s="138"/>
      <c r="X241" s="138"/>
    </row>
    <row r="242" spans="4:24" ht="12.75" customHeight="1" x14ac:dyDescent="0.25">
      <c r="D242" s="138"/>
      <c r="E242" s="138"/>
      <c r="L242" s="138"/>
      <c r="O242" s="138"/>
      <c r="R242" s="138"/>
      <c r="U242" s="138"/>
      <c r="X242" s="138"/>
    </row>
    <row r="243" spans="4:24" ht="12.75" customHeight="1" x14ac:dyDescent="0.25">
      <c r="D243" s="138"/>
      <c r="E243" s="138"/>
      <c r="L243" s="138"/>
      <c r="O243" s="138"/>
      <c r="R243" s="138"/>
      <c r="U243" s="138"/>
      <c r="X243" s="138"/>
    </row>
    <row r="244" spans="4:24" ht="12.75" customHeight="1" x14ac:dyDescent="0.25">
      <c r="D244" s="138"/>
      <c r="E244" s="138"/>
      <c r="L244" s="138"/>
      <c r="O244" s="138"/>
      <c r="R244" s="138"/>
      <c r="U244" s="138"/>
      <c r="X244" s="138"/>
    </row>
    <row r="245" spans="4:24" ht="12.75" customHeight="1" x14ac:dyDescent="0.25">
      <c r="D245" s="138"/>
      <c r="E245" s="138"/>
      <c r="L245" s="138"/>
      <c r="O245" s="138"/>
      <c r="R245" s="138"/>
      <c r="U245" s="138"/>
      <c r="X245" s="138"/>
    </row>
    <row r="246" spans="4:24" ht="12.75" customHeight="1" x14ac:dyDescent="0.25">
      <c r="D246" s="138"/>
      <c r="E246" s="138"/>
      <c r="L246" s="138"/>
      <c r="O246" s="138"/>
      <c r="R246" s="138"/>
      <c r="U246" s="138"/>
      <c r="X246" s="138"/>
    </row>
    <row r="247" spans="4:24" ht="12.75" customHeight="1" x14ac:dyDescent="0.25">
      <c r="D247" s="138"/>
      <c r="E247" s="138"/>
      <c r="L247" s="138"/>
      <c r="O247" s="138"/>
      <c r="R247" s="138"/>
      <c r="U247" s="138"/>
      <c r="X247" s="138"/>
    </row>
    <row r="248" spans="4:24" ht="12.75" customHeight="1" x14ac:dyDescent="0.25">
      <c r="D248" s="138"/>
      <c r="E248" s="138"/>
      <c r="L248" s="138"/>
      <c r="O248" s="138"/>
      <c r="R248" s="138"/>
      <c r="U248" s="138"/>
      <c r="X248" s="138"/>
    </row>
    <row r="249" spans="4:24" ht="12.75" customHeight="1" x14ac:dyDescent="0.25">
      <c r="D249" s="138"/>
      <c r="E249" s="138"/>
      <c r="L249" s="138"/>
      <c r="O249" s="138"/>
      <c r="R249" s="138"/>
      <c r="U249" s="138"/>
      <c r="X249" s="138"/>
    </row>
    <row r="250" spans="4:24" ht="12.75" customHeight="1" x14ac:dyDescent="0.25">
      <c r="D250" s="138"/>
      <c r="E250" s="138"/>
      <c r="L250" s="138"/>
      <c r="O250" s="138"/>
      <c r="R250" s="138"/>
      <c r="U250" s="138"/>
      <c r="X250" s="138"/>
    </row>
    <row r="251" spans="4:24" ht="12.75" customHeight="1" x14ac:dyDescent="0.25">
      <c r="D251" s="138"/>
      <c r="E251" s="138"/>
      <c r="L251" s="138"/>
      <c r="O251" s="138"/>
      <c r="R251" s="138"/>
      <c r="U251" s="138"/>
      <c r="X251" s="138"/>
    </row>
    <row r="252" spans="4:24" ht="12.75" customHeight="1" x14ac:dyDescent="0.25">
      <c r="D252" s="138"/>
      <c r="E252" s="138"/>
      <c r="L252" s="138"/>
      <c r="O252" s="138"/>
      <c r="R252" s="138"/>
      <c r="U252" s="138"/>
      <c r="X252" s="138"/>
    </row>
    <row r="253" spans="4:24" ht="12.75" customHeight="1" x14ac:dyDescent="0.25">
      <c r="D253" s="138"/>
      <c r="E253" s="138"/>
      <c r="L253" s="138"/>
      <c r="O253" s="138"/>
      <c r="R253" s="138"/>
      <c r="U253" s="138"/>
      <c r="X253" s="138"/>
    </row>
    <row r="254" spans="4:24" ht="12.75" customHeight="1" x14ac:dyDescent="0.25">
      <c r="D254" s="138"/>
      <c r="E254" s="138"/>
      <c r="L254" s="138"/>
      <c r="O254" s="138"/>
      <c r="R254" s="138"/>
      <c r="U254" s="138"/>
      <c r="X254" s="138"/>
    </row>
    <row r="255" spans="4:24" ht="12.75" customHeight="1" x14ac:dyDescent="0.25">
      <c r="D255" s="138"/>
      <c r="E255" s="138"/>
      <c r="L255" s="138"/>
      <c r="O255" s="138"/>
      <c r="R255" s="138"/>
      <c r="U255" s="138"/>
      <c r="X255" s="138"/>
    </row>
    <row r="256" spans="4:24" ht="12.75" customHeight="1" x14ac:dyDescent="0.25">
      <c r="D256" s="138"/>
      <c r="E256" s="138"/>
      <c r="L256" s="138"/>
      <c r="O256" s="138"/>
      <c r="R256" s="138"/>
      <c r="U256" s="138"/>
      <c r="X256" s="138"/>
    </row>
    <row r="257" spans="4:24" ht="12.75" customHeight="1" x14ac:dyDescent="0.25">
      <c r="D257" s="138"/>
      <c r="E257" s="138"/>
      <c r="L257" s="138"/>
      <c r="O257" s="138"/>
      <c r="R257" s="138"/>
      <c r="U257" s="138"/>
      <c r="X257" s="138"/>
    </row>
    <row r="258" spans="4:24" ht="12.75" customHeight="1" x14ac:dyDescent="0.25">
      <c r="D258" s="138"/>
      <c r="E258" s="138"/>
      <c r="L258" s="138"/>
      <c r="O258" s="138"/>
      <c r="R258" s="138"/>
      <c r="U258" s="138"/>
      <c r="X258" s="138"/>
    </row>
    <row r="259" spans="4:24" ht="12.75" customHeight="1" x14ac:dyDescent="0.25">
      <c r="D259" s="138"/>
      <c r="E259" s="138"/>
      <c r="L259" s="138"/>
      <c r="O259" s="138"/>
      <c r="R259" s="138"/>
      <c r="U259" s="138"/>
      <c r="X259" s="138"/>
    </row>
    <row r="260" spans="4:24" ht="12.75" customHeight="1" x14ac:dyDescent="0.25">
      <c r="D260" s="138"/>
      <c r="E260" s="138"/>
      <c r="L260" s="138"/>
      <c r="O260" s="138"/>
      <c r="R260" s="138"/>
      <c r="U260" s="138"/>
      <c r="X260" s="138"/>
    </row>
    <row r="261" spans="4:24" ht="12.75" customHeight="1" x14ac:dyDescent="0.25">
      <c r="D261" s="138"/>
      <c r="E261" s="138"/>
      <c r="L261" s="138"/>
      <c r="O261" s="138"/>
      <c r="R261" s="138"/>
      <c r="U261" s="138"/>
      <c r="X261" s="138"/>
    </row>
    <row r="262" spans="4:24" ht="12.75" customHeight="1" x14ac:dyDescent="0.25">
      <c r="D262" s="138"/>
      <c r="E262" s="138"/>
      <c r="L262" s="138"/>
      <c r="O262" s="138"/>
      <c r="R262" s="138"/>
      <c r="U262" s="138"/>
      <c r="X262" s="138"/>
    </row>
    <row r="263" spans="4:24" ht="12.75" customHeight="1" x14ac:dyDescent="0.25">
      <c r="D263" s="138"/>
      <c r="E263" s="138"/>
      <c r="L263" s="138"/>
      <c r="O263" s="138"/>
      <c r="R263" s="138"/>
      <c r="U263" s="138"/>
      <c r="X263" s="138"/>
    </row>
    <row r="264" spans="4:24" ht="12.75" customHeight="1" x14ac:dyDescent="0.25">
      <c r="D264" s="138"/>
      <c r="E264" s="138"/>
      <c r="L264" s="138"/>
      <c r="O264" s="138"/>
      <c r="R264" s="138"/>
      <c r="U264" s="138"/>
      <c r="X264" s="138"/>
    </row>
    <row r="265" spans="4:24" ht="12.75" customHeight="1" x14ac:dyDescent="0.25">
      <c r="D265" s="138"/>
      <c r="E265" s="138"/>
      <c r="L265" s="138"/>
      <c r="O265" s="138"/>
      <c r="R265" s="138"/>
      <c r="U265" s="138"/>
      <c r="X265" s="138"/>
    </row>
    <row r="266" spans="4:24" ht="12.75" customHeight="1" x14ac:dyDescent="0.25">
      <c r="D266" s="138"/>
      <c r="E266" s="138"/>
      <c r="L266" s="138"/>
      <c r="O266" s="138"/>
      <c r="R266" s="138"/>
      <c r="U266" s="138"/>
      <c r="X266" s="138"/>
    </row>
    <row r="267" spans="4:24" ht="12.75" customHeight="1" x14ac:dyDescent="0.25">
      <c r="D267" s="138"/>
      <c r="E267" s="138"/>
      <c r="L267" s="138"/>
      <c r="O267" s="138"/>
      <c r="R267" s="138"/>
      <c r="U267" s="138"/>
      <c r="X267" s="138"/>
    </row>
    <row r="268" spans="4:24" ht="12.75" customHeight="1" x14ac:dyDescent="0.25">
      <c r="D268" s="138"/>
      <c r="E268" s="138"/>
      <c r="L268" s="138"/>
      <c r="O268" s="138"/>
      <c r="R268" s="138"/>
      <c r="U268" s="138"/>
      <c r="X268" s="138"/>
    </row>
    <row r="269" spans="4:24" ht="12.75" customHeight="1" x14ac:dyDescent="0.25">
      <c r="D269" s="138"/>
      <c r="E269" s="138"/>
      <c r="L269" s="138"/>
      <c r="O269" s="138"/>
      <c r="R269" s="138"/>
      <c r="U269" s="138"/>
      <c r="X269" s="138"/>
    </row>
    <row r="270" spans="4:24" ht="12.75" customHeight="1" x14ac:dyDescent="0.25">
      <c r="D270" s="138"/>
      <c r="E270" s="138"/>
      <c r="L270" s="138"/>
      <c r="O270" s="138"/>
      <c r="R270" s="138"/>
      <c r="U270" s="138"/>
      <c r="X270" s="138"/>
    </row>
    <row r="271" spans="4:24" ht="12.75" customHeight="1" x14ac:dyDescent="0.25">
      <c r="D271" s="138"/>
      <c r="E271" s="138"/>
      <c r="L271" s="138"/>
      <c r="O271" s="138"/>
      <c r="R271" s="138"/>
      <c r="U271" s="138"/>
      <c r="X271" s="138"/>
    </row>
    <row r="272" spans="4:24" ht="12.75" customHeight="1" x14ac:dyDescent="0.25">
      <c r="D272" s="138"/>
      <c r="E272" s="138"/>
      <c r="L272" s="138"/>
      <c r="O272" s="138"/>
      <c r="R272" s="138"/>
      <c r="U272" s="138"/>
      <c r="X272" s="138"/>
    </row>
    <row r="273" spans="4:24" ht="12.75" customHeight="1" x14ac:dyDescent="0.25">
      <c r="D273" s="138"/>
      <c r="E273" s="138"/>
      <c r="L273" s="138"/>
      <c r="O273" s="138"/>
      <c r="R273" s="138"/>
      <c r="U273" s="138"/>
      <c r="X273" s="138"/>
    </row>
    <row r="274" spans="4:24" ht="12.75" customHeight="1" x14ac:dyDescent="0.25">
      <c r="D274" s="138"/>
      <c r="E274" s="138"/>
      <c r="L274" s="138"/>
      <c r="O274" s="138"/>
      <c r="R274" s="138"/>
      <c r="U274" s="138"/>
      <c r="X274" s="138"/>
    </row>
    <row r="275" spans="4:24" ht="12.75" customHeight="1" x14ac:dyDescent="0.25">
      <c r="D275" s="138"/>
      <c r="E275" s="138"/>
      <c r="L275" s="138"/>
      <c r="O275" s="138"/>
      <c r="R275" s="138"/>
      <c r="U275" s="138"/>
      <c r="X275" s="138"/>
    </row>
    <row r="276" spans="4:24" ht="12.75" customHeight="1" x14ac:dyDescent="0.25">
      <c r="D276" s="138"/>
      <c r="E276" s="138"/>
      <c r="L276" s="138"/>
      <c r="O276" s="138"/>
      <c r="R276" s="138"/>
      <c r="U276" s="138"/>
      <c r="X276" s="138"/>
    </row>
    <row r="277" spans="4:24" ht="12.75" customHeight="1" x14ac:dyDescent="0.25">
      <c r="D277" s="138"/>
      <c r="E277" s="138"/>
      <c r="L277" s="138"/>
      <c r="O277" s="138"/>
      <c r="R277" s="138"/>
      <c r="U277" s="138"/>
      <c r="X277" s="138"/>
    </row>
    <row r="278" spans="4:24" ht="12.75" customHeight="1" x14ac:dyDescent="0.25">
      <c r="D278" s="138"/>
      <c r="E278" s="138"/>
      <c r="L278" s="138"/>
      <c r="O278" s="138"/>
      <c r="R278" s="138"/>
      <c r="U278" s="138"/>
      <c r="X278" s="138"/>
    </row>
    <row r="279" spans="4:24" ht="12.75" customHeight="1" x14ac:dyDescent="0.25">
      <c r="D279" s="138"/>
      <c r="E279" s="138"/>
      <c r="L279" s="138"/>
      <c r="O279" s="138"/>
      <c r="R279" s="138"/>
      <c r="U279" s="138"/>
      <c r="X279" s="138"/>
    </row>
    <row r="280" spans="4:24" ht="12.75" customHeight="1" x14ac:dyDescent="0.25">
      <c r="D280" s="138"/>
      <c r="E280" s="138"/>
      <c r="L280" s="138"/>
      <c r="O280" s="138"/>
      <c r="R280" s="138"/>
      <c r="U280" s="138"/>
      <c r="X280" s="138"/>
    </row>
    <row r="281" spans="4:24" ht="12.75" customHeight="1" x14ac:dyDescent="0.25">
      <c r="D281" s="138"/>
      <c r="E281" s="138"/>
      <c r="L281" s="138"/>
      <c r="O281" s="138"/>
      <c r="R281" s="138"/>
      <c r="U281" s="138"/>
      <c r="X281" s="138"/>
    </row>
    <row r="282" spans="4:24" ht="12.75" customHeight="1" x14ac:dyDescent="0.25">
      <c r="D282" s="138"/>
      <c r="E282" s="138"/>
      <c r="L282" s="138"/>
      <c r="O282" s="138"/>
      <c r="R282" s="138"/>
      <c r="U282" s="138"/>
      <c r="X282" s="138"/>
    </row>
    <row r="283" spans="4:24" ht="12.75" customHeight="1" x14ac:dyDescent="0.25">
      <c r="D283" s="138"/>
      <c r="E283" s="138"/>
      <c r="L283" s="138"/>
      <c r="O283" s="138"/>
      <c r="R283" s="138"/>
      <c r="U283" s="138"/>
      <c r="X283" s="138"/>
    </row>
    <row r="284" spans="4:24" ht="12.75" customHeight="1" x14ac:dyDescent="0.25">
      <c r="D284" s="138"/>
      <c r="E284" s="138"/>
      <c r="L284" s="138"/>
      <c r="O284" s="138"/>
      <c r="R284" s="138"/>
      <c r="U284" s="138"/>
      <c r="X284" s="138"/>
    </row>
    <row r="285" spans="4:24" ht="12.75" customHeight="1" x14ac:dyDescent="0.25">
      <c r="D285" s="138"/>
      <c r="E285" s="138"/>
      <c r="L285" s="138"/>
      <c r="O285" s="138"/>
      <c r="R285" s="138"/>
      <c r="U285" s="138"/>
      <c r="X285" s="138"/>
    </row>
    <row r="286" spans="4:24" ht="12.75" customHeight="1" x14ac:dyDescent="0.25">
      <c r="D286" s="138"/>
      <c r="E286" s="138"/>
      <c r="L286" s="138"/>
      <c r="O286" s="138"/>
      <c r="R286" s="138"/>
      <c r="U286" s="138"/>
      <c r="X286" s="138"/>
    </row>
    <row r="287" spans="4:24" ht="12.75" customHeight="1" x14ac:dyDescent="0.25">
      <c r="D287" s="138"/>
      <c r="E287" s="138"/>
      <c r="L287" s="138"/>
      <c r="O287" s="138"/>
      <c r="R287" s="138"/>
      <c r="U287" s="138"/>
      <c r="X287" s="138"/>
    </row>
    <row r="288" spans="4:24" ht="12.75" customHeight="1" x14ac:dyDescent="0.25">
      <c r="D288" s="138"/>
      <c r="E288" s="138"/>
      <c r="L288" s="138"/>
      <c r="O288" s="138"/>
      <c r="R288" s="138"/>
      <c r="U288" s="138"/>
      <c r="X288" s="138"/>
    </row>
    <row r="289" spans="4:24" ht="12.75" customHeight="1" x14ac:dyDescent="0.25">
      <c r="D289" s="138"/>
      <c r="E289" s="138"/>
      <c r="L289" s="138"/>
      <c r="O289" s="138"/>
      <c r="R289" s="138"/>
      <c r="U289" s="138"/>
      <c r="X289" s="138"/>
    </row>
    <row r="290" spans="4:24" ht="12.75" customHeight="1" x14ac:dyDescent="0.25">
      <c r="D290" s="138"/>
      <c r="E290" s="138"/>
      <c r="L290" s="138"/>
      <c r="O290" s="138"/>
      <c r="R290" s="138"/>
      <c r="U290" s="138"/>
      <c r="X290" s="138"/>
    </row>
    <row r="291" spans="4:24" ht="12.75" customHeight="1" x14ac:dyDescent="0.25">
      <c r="D291" s="138"/>
      <c r="E291" s="138"/>
      <c r="L291" s="138"/>
      <c r="O291" s="138"/>
      <c r="R291" s="138"/>
      <c r="U291" s="138"/>
      <c r="X291" s="138"/>
    </row>
    <row r="292" spans="4:24" ht="12.75" customHeight="1" x14ac:dyDescent="0.25">
      <c r="D292" s="138"/>
      <c r="E292" s="138"/>
      <c r="L292" s="138"/>
      <c r="O292" s="138"/>
      <c r="R292" s="138"/>
      <c r="U292" s="138"/>
      <c r="X292" s="138"/>
    </row>
    <row r="293" spans="4:24" ht="12.75" customHeight="1" x14ac:dyDescent="0.25">
      <c r="D293" s="138"/>
      <c r="E293" s="138"/>
      <c r="L293" s="138"/>
      <c r="O293" s="138"/>
      <c r="R293" s="138"/>
      <c r="U293" s="138"/>
      <c r="X293" s="138"/>
    </row>
    <row r="294" spans="4:24" ht="12.75" customHeight="1" x14ac:dyDescent="0.25">
      <c r="D294" s="138"/>
      <c r="E294" s="138"/>
      <c r="L294" s="138"/>
      <c r="O294" s="138"/>
      <c r="R294" s="138"/>
      <c r="U294" s="138"/>
      <c r="X294" s="138"/>
    </row>
    <row r="295" spans="4:24" ht="12.75" customHeight="1" x14ac:dyDescent="0.25">
      <c r="D295" s="138"/>
      <c r="E295" s="138"/>
      <c r="L295" s="138"/>
      <c r="O295" s="138"/>
      <c r="R295" s="138"/>
      <c r="U295" s="138"/>
      <c r="X295" s="138"/>
    </row>
    <row r="296" spans="4:24" ht="12.75" customHeight="1" x14ac:dyDescent="0.25">
      <c r="D296" s="138"/>
      <c r="E296" s="138"/>
      <c r="L296" s="138"/>
      <c r="O296" s="138"/>
      <c r="R296" s="138"/>
      <c r="U296" s="138"/>
      <c r="X296" s="138"/>
    </row>
    <row r="297" spans="4:24" ht="12.75" customHeight="1" x14ac:dyDescent="0.25">
      <c r="D297" s="138"/>
      <c r="E297" s="138"/>
      <c r="L297" s="138"/>
      <c r="O297" s="138"/>
      <c r="R297" s="138"/>
      <c r="U297" s="138"/>
      <c r="X297" s="138"/>
    </row>
    <row r="298" spans="4:24" ht="12.75" customHeight="1" x14ac:dyDescent="0.25">
      <c r="D298" s="138"/>
      <c r="E298" s="138"/>
      <c r="L298" s="138"/>
      <c r="O298" s="138"/>
      <c r="R298" s="138"/>
      <c r="U298" s="138"/>
      <c r="X298" s="138"/>
    </row>
    <row r="299" spans="4:24" ht="12.75" customHeight="1" x14ac:dyDescent="0.25">
      <c r="D299" s="138"/>
      <c r="E299" s="138"/>
      <c r="L299" s="138"/>
      <c r="O299" s="138"/>
      <c r="R299" s="138"/>
      <c r="U299" s="138"/>
      <c r="X299" s="138"/>
    </row>
    <row r="300" spans="4:24" ht="12.75" customHeight="1" x14ac:dyDescent="0.25">
      <c r="D300" s="138"/>
      <c r="E300" s="138"/>
      <c r="L300" s="138"/>
      <c r="O300" s="138"/>
      <c r="R300" s="138"/>
      <c r="U300" s="138"/>
      <c r="X300" s="138"/>
    </row>
    <row r="301" spans="4:24" ht="12.75" customHeight="1" x14ac:dyDescent="0.25">
      <c r="D301" s="138"/>
      <c r="E301" s="138"/>
      <c r="L301" s="138"/>
      <c r="O301" s="138"/>
      <c r="R301" s="138"/>
      <c r="U301" s="138"/>
      <c r="X301" s="138"/>
    </row>
    <row r="302" spans="4:24" ht="12.75" customHeight="1" x14ac:dyDescent="0.25">
      <c r="D302" s="138"/>
      <c r="E302" s="138"/>
      <c r="L302" s="138"/>
      <c r="O302" s="138"/>
      <c r="R302" s="138"/>
      <c r="U302" s="138"/>
      <c r="X302" s="138"/>
    </row>
    <row r="303" spans="4:24" ht="12.75" customHeight="1" x14ac:dyDescent="0.25">
      <c r="D303" s="138"/>
      <c r="E303" s="138"/>
      <c r="L303" s="138"/>
      <c r="O303" s="138"/>
      <c r="R303" s="138"/>
      <c r="U303" s="138"/>
      <c r="X303" s="138"/>
    </row>
    <row r="304" spans="4:24" ht="12.75" customHeight="1" x14ac:dyDescent="0.25">
      <c r="D304" s="138"/>
      <c r="E304" s="138"/>
      <c r="L304" s="138"/>
      <c r="O304" s="138"/>
      <c r="R304" s="138"/>
      <c r="U304" s="138"/>
      <c r="X304" s="138"/>
    </row>
    <row r="305" spans="4:24" ht="12.75" customHeight="1" x14ac:dyDescent="0.25">
      <c r="D305" s="138"/>
      <c r="E305" s="138"/>
      <c r="L305" s="138"/>
      <c r="O305" s="138"/>
      <c r="R305" s="138"/>
      <c r="U305" s="138"/>
      <c r="X305" s="138"/>
    </row>
    <row r="306" spans="4:24" ht="12.75" customHeight="1" x14ac:dyDescent="0.25">
      <c r="D306" s="138"/>
      <c r="E306" s="138"/>
      <c r="L306" s="138"/>
      <c r="O306" s="138"/>
      <c r="R306" s="138"/>
      <c r="U306" s="138"/>
      <c r="X306" s="138"/>
    </row>
    <row r="307" spans="4:24" ht="12.75" customHeight="1" x14ac:dyDescent="0.25">
      <c r="D307" s="138"/>
      <c r="E307" s="138"/>
      <c r="L307" s="138"/>
      <c r="O307" s="138"/>
      <c r="R307" s="138"/>
      <c r="U307" s="138"/>
      <c r="X307" s="138"/>
    </row>
    <row r="308" spans="4:24" ht="12.75" customHeight="1" x14ac:dyDescent="0.25">
      <c r="D308" s="138"/>
      <c r="E308" s="138"/>
      <c r="L308" s="138"/>
      <c r="O308" s="138"/>
      <c r="R308" s="138"/>
      <c r="U308" s="138"/>
      <c r="X308" s="138"/>
    </row>
    <row r="309" spans="4:24" ht="12.75" customHeight="1" x14ac:dyDescent="0.25">
      <c r="D309" s="138"/>
      <c r="E309" s="138"/>
      <c r="L309" s="138"/>
      <c r="O309" s="138"/>
      <c r="R309" s="138"/>
      <c r="U309" s="138"/>
      <c r="X309" s="138"/>
    </row>
    <row r="310" spans="4:24" ht="12.75" customHeight="1" x14ac:dyDescent="0.25">
      <c r="D310" s="138"/>
      <c r="E310" s="138"/>
      <c r="L310" s="138"/>
      <c r="O310" s="138"/>
      <c r="R310" s="138"/>
      <c r="U310" s="138"/>
      <c r="X310" s="138"/>
    </row>
    <row r="311" spans="4:24" ht="12.75" customHeight="1" x14ac:dyDescent="0.25">
      <c r="D311" s="138"/>
      <c r="E311" s="138"/>
      <c r="L311" s="138"/>
      <c r="O311" s="138"/>
      <c r="R311" s="138"/>
      <c r="U311" s="138"/>
      <c r="X311" s="138"/>
    </row>
    <row r="312" spans="4:24" ht="12.75" customHeight="1" x14ac:dyDescent="0.25">
      <c r="D312" s="138"/>
      <c r="E312" s="138"/>
      <c r="L312" s="138"/>
      <c r="O312" s="138"/>
      <c r="R312" s="138"/>
      <c r="U312" s="138"/>
      <c r="X312" s="138"/>
    </row>
    <row r="313" spans="4:24" ht="12.75" customHeight="1" x14ac:dyDescent="0.25">
      <c r="D313" s="138"/>
      <c r="E313" s="138"/>
      <c r="L313" s="138"/>
      <c r="O313" s="138"/>
      <c r="R313" s="138"/>
      <c r="U313" s="138"/>
      <c r="X313" s="138"/>
    </row>
    <row r="314" spans="4:24" ht="12.75" customHeight="1" x14ac:dyDescent="0.25">
      <c r="D314" s="138"/>
      <c r="E314" s="138"/>
      <c r="L314" s="138"/>
      <c r="O314" s="138"/>
      <c r="R314" s="138"/>
      <c r="U314" s="138"/>
      <c r="X314" s="138"/>
    </row>
    <row r="315" spans="4:24" ht="12.75" customHeight="1" x14ac:dyDescent="0.25">
      <c r="D315" s="138"/>
      <c r="E315" s="138"/>
      <c r="L315" s="138"/>
      <c r="O315" s="138"/>
      <c r="R315" s="138"/>
      <c r="U315" s="138"/>
      <c r="X315" s="138"/>
    </row>
    <row r="316" spans="4:24" ht="12.75" customHeight="1" x14ac:dyDescent="0.25">
      <c r="D316" s="138"/>
      <c r="E316" s="138"/>
      <c r="L316" s="138"/>
      <c r="O316" s="138"/>
      <c r="R316" s="138"/>
      <c r="U316" s="138"/>
      <c r="X316" s="138"/>
    </row>
    <row r="317" spans="4:24" ht="12.75" customHeight="1" x14ac:dyDescent="0.25">
      <c r="D317" s="138"/>
      <c r="E317" s="138"/>
      <c r="L317" s="138"/>
      <c r="O317" s="138"/>
      <c r="R317" s="138"/>
      <c r="U317" s="138"/>
      <c r="X317" s="138"/>
    </row>
    <row r="318" spans="4:24" ht="12.75" customHeight="1" x14ac:dyDescent="0.25">
      <c r="D318" s="138"/>
      <c r="E318" s="138"/>
      <c r="L318" s="138"/>
      <c r="O318" s="138"/>
      <c r="R318" s="138"/>
      <c r="U318" s="138"/>
      <c r="X318" s="138"/>
    </row>
    <row r="319" spans="4:24" ht="12.75" customHeight="1" x14ac:dyDescent="0.25">
      <c r="D319" s="138"/>
      <c r="E319" s="138"/>
      <c r="L319" s="138"/>
      <c r="O319" s="138"/>
      <c r="R319" s="138"/>
      <c r="U319" s="138"/>
      <c r="X319" s="138"/>
    </row>
    <row r="320" spans="4:24" ht="12.75" customHeight="1" x14ac:dyDescent="0.25">
      <c r="D320" s="138"/>
      <c r="E320" s="138"/>
      <c r="L320" s="138"/>
      <c r="O320" s="138"/>
      <c r="R320" s="138"/>
      <c r="U320" s="138"/>
      <c r="X320" s="138"/>
    </row>
    <row r="321" spans="4:24" ht="12.75" customHeight="1" x14ac:dyDescent="0.25">
      <c r="D321" s="138"/>
      <c r="E321" s="138"/>
      <c r="L321" s="138"/>
      <c r="O321" s="138"/>
      <c r="R321" s="138"/>
      <c r="U321" s="138"/>
      <c r="X321" s="138"/>
    </row>
    <row r="322" spans="4:24" ht="12.75" customHeight="1" x14ac:dyDescent="0.25">
      <c r="D322" s="138"/>
      <c r="E322" s="138"/>
      <c r="L322" s="138"/>
      <c r="O322" s="138"/>
      <c r="R322" s="138"/>
      <c r="U322" s="138"/>
      <c r="X322" s="138"/>
    </row>
    <row r="323" spans="4:24" ht="12.75" customHeight="1" x14ac:dyDescent="0.25">
      <c r="D323" s="138"/>
      <c r="E323" s="138"/>
      <c r="L323" s="138"/>
      <c r="O323" s="138"/>
      <c r="R323" s="138"/>
      <c r="U323" s="138"/>
      <c r="X323" s="138"/>
    </row>
    <row r="324" spans="4:24" ht="12.75" customHeight="1" x14ac:dyDescent="0.25">
      <c r="D324" s="138"/>
      <c r="E324" s="138"/>
      <c r="L324" s="138"/>
      <c r="O324" s="138"/>
      <c r="R324" s="138"/>
      <c r="U324" s="138"/>
      <c r="X324" s="138"/>
    </row>
    <row r="325" spans="4:24" ht="12.75" customHeight="1" x14ac:dyDescent="0.25">
      <c r="D325" s="138"/>
      <c r="E325" s="138"/>
      <c r="L325" s="138"/>
      <c r="O325" s="138"/>
      <c r="R325" s="138"/>
      <c r="U325" s="138"/>
      <c r="X325" s="138"/>
    </row>
    <row r="326" spans="4:24" ht="12.75" customHeight="1" x14ac:dyDescent="0.25">
      <c r="D326" s="138"/>
      <c r="E326" s="138"/>
      <c r="L326" s="138"/>
      <c r="O326" s="138"/>
      <c r="R326" s="138"/>
      <c r="U326" s="138"/>
      <c r="X326" s="138"/>
    </row>
    <row r="327" spans="4:24" ht="12.75" customHeight="1" x14ac:dyDescent="0.25">
      <c r="D327" s="138"/>
      <c r="E327" s="138"/>
      <c r="L327" s="138"/>
      <c r="O327" s="138"/>
      <c r="R327" s="138"/>
      <c r="U327" s="138"/>
      <c r="X327" s="138"/>
    </row>
    <row r="328" spans="4:24" ht="12.75" customHeight="1" x14ac:dyDescent="0.25">
      <c r="D328" s="138"/>
      <c r="E328" s="138"/>
      <c r="L328" s="138"/>
      <c r="O328" s="138"/>
      <c r="R328" s="138"/>
      <c r="U328" s="138"/>
      <c r="X328" s="138"/>
    </row>
    <row r="329" spans="4:24" ht="12.75" customHeight="1" x14ac:dyDescent="0.25">
      <c r="D329" s="138"/>
      <c r="E329" s="138"/>
      <c r="L329" s="138"/>
      <c r="O329" s="138"/>
      <c r="R329" s="138"/>
      <c r="U329" s="138"/>
      <c r="X329" s="138"/>
    </row>
    <row r="330" spans="4:24" ht="12.75" customHeight="1" x14ac:dyDescent="0.25">
      <c r="D330" s="138"/>
      <c r="E330" s="138"/>
      <c r="L330" s="138"/>
      <c r="O330" s="138"/>
      <c r="R330" s="138"/>
      <c r="U330" s="138"/>
      <c r="X330" s="138"/>
    </row>
    <row r="331" spans="4:24" ht="12.75" customHeight="1" x14ac:dyDescent="0.25">
      <c r="D331" s="138"/>
      <c r="E331" s="138"/>
      <c r="L331" s="138"/>
      <c r="O331" s="138"/>
      <c r="R331" s="138"/>
      <c r="U331" s="138"/>
      <c r="X331" s="138"/>
    </row>
    <row r="332" spans="4:24" ht="12.75" customHeight="1" x14ac:dyDescent="0.25">
      <c r="D332" s="138"/>
      <c r="E332" s="138"/>
      <c r="L332" s="138"/>
      <c r="O332" s="138"/>
      <c r="R332" s="138"/>
      <c r="U332" s="138"/>
      <c r="X332" s="138"/>
    </row>
    <row r="333" spans="4:24" ht="12.75" customHeight="1" x14ac:dyDescent="0.25">
      <c r="D333" s="138"/>
      <c r="E333" s="138"/>
      <c r="L333" s="138"/>
      <c r="O333" s="138"/>
      <c r="R333" s="138"/>
      <c r="U333" s="138"/>
      <c r="X333" s="138"/>
    </row>
    <row r="334" spans="4:24" ht="12.75" customHeight="1" x14ac:dyDescent="0.25">
      <c r="D334" s="138"/>
      <c r="E334" s="138"/>
      <c r="L334" s="138"/>
      <c r="O334" s="138"/>
      <c r="R334" s="138"/>
      <c r="U334" s="138"/>
      <c r="X334" s="138"/>
    </row>
    <row r="335" spans="4:24" ht="12.75" customHeight="1" x14ac:dyDescent="0.25">
      <c r="D335" s="138"/>
      <c r="E335" s="138"/>
      <c r="L335" s="138"/>
      <c r="O335" s="138"/>
      <c r="R335" s="138"/>
      <c r="U335" s="138"/>
      <c r="X335" s="138"/>
    </row>
    <row r="336" spans="4:24" ht="12.75" customHeight="1" x14ac:dyDescent="0.25">
      <c r="D336" s="138"/>
      <c r="E336" s="138"/>
      <c r="L336" s="138"/>
      <c r="O336" s="138"/>
      <c r="R336" s="138"/>
      <c r="U336" s="138"/>
      <c r="X336" s="138"/>
    </row>
    <row r="337" spans="4:24" ht="12.75" customHeight="1" x14ac:dyDescent="0.25">
      <c r="D337" s="138"/>
      <c r="E337" s="138"/>
      <c r="L337" s="138"/>
      <c r="O337" s="138"/>
      <c r="R337" s="138"/>
      <c r="U337" s="138"/>
      <c r="X337" s="138"/>
    </row>
    <row r="338" spans="4:24" ht="12.75" customHeight="1" x14ac:dyDescent="0.25">
      <c r="D338" s="138"/>
      <c r="E338" s="138"/>
      <c r="L338" s="138"/>
      <c r="O338" s="138"/>
      <c r="R338" s="138"/>
      <c r="U338" s="138"/>
      <c r="X338" s="138"/>
    </row>
    <row r="339" spans="4:24" ht="12.75" customHeight="1" x14ac:dyDescent="0.25">
      <c r="D339" s="138"/>
      <c r="E339" s="138"/>
      <c r="L339" s="138"/>
      <c r="O339" s="138"/>
      <c r="R339" s="138"/>
      <c r="U339" s="138"/>
      <c r="X339" s="138"/>
    </row>
    <row r="340" spans="4:24" ht="12.75" customHeight="1" x14ac:dyDescent="0.25">
      <c r="D340" s="138"/>
      <c r="E340" s="138"/>
      <c r="L340" s="138"/>
      <c r="O340" s="138"/>
      <c r="R340" s="138"/>
      <c r="U340" s="138"/>
      <c r="X340" s="138"/>
    </row>
    <row r="341" spans="4:24" ht="12.75" customHeight="1" x14ac:dyDescent="0.25">
      <c r="D341" s="138"/>
      <c r="E341" s="138"/>
      <c r="L341" s="138"/>
      <c r="O341" s="138"/>
      <c r="R341" s="138"/>
      <c r="U341" s="138"/>
      <c r="X341" s="138"/>
    </row>
    <row r="342" spans="4:24" ht="12.75" customHeight="1" x14ac:dyDescent="0.25">
      <c r="D342" s="138"/>
      <c r="E342" s="138"/>
      <c r="L342" s="138"/>
      <c r="O342" s="138"/>
      <c r="R342" s="138"/>
      <c r="U342" s="138"/>
      <c r="X342" s="138"/>
    </row>
    <row r="343" spans="4:24" ht="12.75" customHeight="1" x14ac:dyDescent="0.25">
      <c r="D343" s="138"/>
      <c r="E343" s="138"/>
      <c r="L343" s="138"/>
      <c r="O343" s="138"/>
      <c r="R343" s="138"/>
      <c r="U343" s="138"/>
      <c r="X343" s="138"/>
    </row>
    <row r="344" spans="4:24" ht="12.75" customHeight="1" x14ac:dyDescent="0.25">
      <c r="D344" s="138"/>
      <c r="E344" s="138"/>
      <c r="L344" s="138"/>
      <c r="O344" s="138"/>
      <c r="R344" s="138"/>
      <c r="U344" s="138"/>
      <c r="X344" s="138"/>
    </row>
    <row r="345" spans="4:24" ht="12.75" customHeight="1" x14ac:dyDescent="0.25">
      <c r="D345" s="138"/>
      <c r="E345" s="138"/>
      <c r="L345" s="138"/>
      <c r="O345" s="138"/>
      <c r="R345" s="138"/>
      <c r="U345" s="138"/>
      <c r="X345" s="138"/>
    </row>
    <row r="346" spans="4:24" ht="12.75" customHeight="1" x14ac:dyDescent="0.25">
      <c r="D346" s="138"/>
      <c r="E346" s="138"/>
      <c r="L346" s="138"/>
      <c r="O346" s="138"/>
      <c r="R346" s="138"/>
      <c r="U346" s="138"/>
      <c r="X346" s="138"/>
    </row>
    <row r="347" spans="4:24" ht="12.75" customHeight="1" x14ac:dyDescent="0.25">
      <c r="D347" s="138"/>
      <c r="E347" s="138"/>
      <c r="L347" s="138"/>
      <c r="O347" s="138"/>
      <c r="R347" s="138"/>
      <c r="U347" s="138"/>
      <c r="X347" s="138"/>
    </row>
    <row r="348" spans="4:24" ht="12.75" customHeight="1" x14ac:dyDescent="0.25">
      <c r="D348" s="138"/>
      <c r="E348" s="138"/>
      <c r="L348" s="138"/>
      <c r="O348" s="138"/>
      <c r="R348" s="138"/>
      <c r="U348" s="138"/>
      <c r="X348" s="138"/>
    </row>
    <row r="349" spans="4:24" ht="12.75" customHeight="1" x14ac:dyDescent="0.25">
      <c r="D349" s="138"/>
      <c r="E349" s="138"/>
      <c r="L349" s="138"/>
      <c r="O349" s="138"/>
      <c r="R349" s="138"/>
      <c r="U349" s="138"/>
      <c r="X349" s="138"/>
    </row>
    <row r="350" spans="4:24" ht="12.75" customHeight="1" x14ac:dyDescent="0.25">
      <c r="D350" s="138"/>
      <c r="E350" s="138"/>
      <c r="L350" s="138"/>
      <c r="O350" s="138"/>
      <c r="R350" s="138"/>
      <c r="U350" s="138"/>
      <c r="X350" s="138"/>
    </row>
    <row r="351" spans="4:24" ht="12.75" customHeight="1" x14ac:dyDescent="0.25">
      <c r="D351" s="138"/>
      <c r="E351" s="138"/>
      <c r="L351" s="138"/>
      <c r="O351" s="138"/>
      <c r="R351" s="138"/>
      <c r="U351" s="138"/>
      <c r="X351" s="138"/>
    </row>
    <row r="352" spans="4:24" ht="12.75" customHeight="1" x14ac:dyDescent="0.25">
      <c r="D352" s="138"/>
      <c r="E352" s="138"/>
      <c r="L352" s="138"/>
      <c r="O352" s="138"/>
      <c r="R352" s="138"/>
      <c r="U352" s="138"/>
      <c r="X352" s="138"/>
    </row>
    <row r="353" spans="4:24" ht="12.75" customHeight="1" x14ac:dyDescent="0.25">
      <c r="D353" s="138"/>
      <c r="E353" s="138"/>
      <c r="L353" s="138"/>
      <c r="O353" s="138"/>
      <c r="R353" s="138"/>
      <c r="U353" s="138"/>
      <c r="X353" s="138"/>
    </row>
    <row r="354" spans="4:24" ht="12.75" customHeight="1" x14ac:dyDescent="0.25">
      <c r="D354" s="138"/>
      <c r="E354" s="138"/>
      <c r="L354" s="138"/>
      <c r="O354" s="138"/>
      <c r="R354" s="138"/>
      <c r="U354" s="138"/>
      <c r="X354" s="138"/>
    </row>
    <row r="355" spans="4:24" ht="12.75" customHeight="1" x14ac:dyDescent="0.25">
      <c r="D355" s="138"/>
      <c r="E355" s="138"/>
      <c r="L355" s="138"/>
      <c r="O355" s="138"/>
      <c r="R355" s="138"/>
      <c r="U355" s="138"/>
      <c r="X355" s="138"/>
    </row>
    <row r="356" spans="4:24" ht="12.75" customHeight="1" x14ac:dyDescent="0.25">
      <c r="D356" s="138"/>
      <c r="E356" s="138"/>
      <c r="L356" s="138"/>
      <c r="O356" s="138"/>
      <c r="R356" s="138"/>
      <c r="U356" s="138"/>
      <c r="X356" s="138"/>
    </row>
    <row r="357" spans="4:24" ht="12.75" customHeight="1" x14ac:dyDescent="0.25">
      <c r="D357" s="138"/>
      <c r="E357" s="138"/>
      <c r="L357" s="138"/>
      <c r="O357" s="138"/>
      <c r="R357" s="138"/>
      <c r="U357" s="138"/>
      <c r="X357" s="138"/>
    </row>
    <row r="358" spans="4:24" ht="12.75" customHeight="1" x14ac:dyDescent="0.25">
      <c r="D358" s="138"/>
      <c r="E358" s="138"/>
      <c r="L358" s="138"/>
      <c r="O358" s="138"/>
      <c r="R358" s="138"/>
      <c r="U358" s="138"/>
      <c r="X358" s="138"/>
    </row>
    <row r="359" spans="4:24" ht="12.75" customHeight="1" x14ac:dyDescent="0.25">
      <c r="D359" s="138"/>
      <c r="E359" s="138"/>
      <c r="L359" s="138"/>
      <c r="O359" s="138"/>
      <c r="R359" s="138"/>
      <c r="U359" s="138"/>
      <c r="X359" s="138"/>
    </row>
    <row r="360" spans="4:24" ht="12.75" customHeight="1" x14ac:dyDescent="0.25">
      <c r="D360" s="138"/>
      <c r="E360" s="138"/>
      <c r="L360" s="138"/>
      <c r="O360" s="138"/>
      <c r="R360" s="138"/>
      <c r="U360" s="138"/>
      <c r="X360" s="138"/>
    </row>
    <row r="361" spans="4:24" ht="12.75" customHeight="1" x14ac:dyDescent="0.25">
      <c r="D361" s="138"/>
      <c r="E361" s="138"/>
      <c r="L361" s="138"/>
      <c r="O361" s="138"/>
      <c r="R361" s="138"/>
      <c r="U361" s="138"/>
      <c r="X361" s="138"/>
    </row>
    <row r="362" spans="4:24" ht="12.75" customHeight="1" x14ac:dyDescent="0.25">
      <c r="D362" s="138"/>
      <c r="E362" s="138"/>
      <c r="L362" s="138"/>
      <c r="O362" s="138"/>
      <c r="R362" s="138"/>
      <c r="U362" s="138"/>
      <c r="X362" s="138"/>
    </row>
    <row r="363" spans="4:24" ht="12.75" customHeight="1" x14ac:dyDescent="0.25">
      <c r="D363" s="138"/>
      <c r="E363" s="138"/>
      <c r="L363" s="138"/>
      <c r="O363" s="138"/>
      <c r="R363" s="138"/>
      <c r="U363" s="138"/>
      <c r="X363" s="138"/>
    </row>
    <row r="364" spans="4:24" ht="12.75" customHeight="1" x14ac:dyDescent="0.25">
      <c r="D364" s="138"/>
      <c r="E364" s="138"/>
      <c r="L364" s="138"/>
      <c r="O364" s="138"/>
      <c r="R364" s="138"/>
      <c r="U364" s="138"/>
      <c r="X364" s="138"/>
    </row>
    <row r="365" spans="4:24" ht="12.75" customHeight="1" x14ac:dyDescent="0.25">
      <c r="D365" s="138"/>
      <c r="E365" s="138"/>
      <c r="L365" s="138"/>
      <c r="O365" s="138"/>
      <c r="R365" s="138"/>
      <c r="U365" s="138"/>
      <c r="X365" s="138"/>
    </row>
    <row r="366" spans="4:24" ht="12.75" customHeight="1" x14ac:dyDescent="0.25">
      <c r="D366" s="138"/>
      <c r="E366" s="138"/>
      <c r="L366" s="138"/>
      <c r="O366" s="138"/>
      <c r="R366" s="138"/>
      <c r="U366" s="138"/>
      <c r="X366" s="138"/>
    </row>
    <row r="367" spans="4:24" ht="12.75" customHeight="1" x14ac:dyDescent="0.25">
      <c r="D367" s="138"/>
      <c r="E367" s="138"/>
      <c r="L367" s="138"/>
      <c r="O367" s="138"/>
      <c r="R367" s="138"/>
      <c r="U367" s="138"/>
      <c r="X367" s="138"/>
    </row>
    <row r="368" spans="4:24" ht="12.75" customHeight="1" x14ac:dyDescent="0.25">
      <c r="D368" s="138"/>
      <c r="E368" s="138"/>
      <c r="L368" s="138"/>
      <c r="O368" s="138"/>
      <c r="R368" s="138"/>
      <c r="U368" s="138"/>
      <c r="X368" s="138"/>
    </row>
    <row r="369" spans="4:24" ht="12.75" customHeight="1" x14ac:dyDescent="0.25">
      <c r="D369" s="138"/>
      <c r="E369" s="138"/>
      <c r="L369" s="138"/>
      <c r="O369" s="138"/>
      <c r="R369" s="138"/>
      <c r="U369" s="138"/>
      <c r="X369" s="138"/>
    </row>
    <row r="370" spans="4:24" ht="12.75" customHeight="1" x14ac:dyDescent="0.25">
      <c r="D370" s="138"/>
      <c r="E370" s="138"/>
      <c r="L370" s="138"/>
      <c r="O370" s="138"/>
      <c r="R370" s="138"/>
      <c r="U370" s="138"/>
      <c r="X370" s="138"/>
    </row>
    <row r="371" spans="4:24" ht="12.75" customHeight="1" x14ac:dyDescent="0.25">
      <c r="D371" s="138"/>
      <c r="E371" s="138"/>
      <c r="L371" s="138"/>
      <c r="O371" s="138"/>
      <c r="R371" s="138"/>
      <c r="U371" s="138"/>
      <c r="X371" s="138"/>
    </row>
    <row r="372" spans="4:24" ht="12.75" customHeight="1" x14ac:dyDescent="0.25">
      <c r="D372" s="138"/>
      <c r="E372" s="138"/>
      <c r="L372" s="138"/>
      <c r="O372" s="138"/>
      <c r="R372" s="138"/>
      <c r="U372" s="138"/>
      <c r="X372" s="138"/>
    </row>
    <row r="373" spans="4:24" ht="12.75" customHeight="1" x14ac:dyDescent="0.25">
      <c r="D373" s="138"/>
      <c r="E373" s="138"/>
      <c r="L373" s="138"/>
      <c r="O373" s="138"/>
      <c r="R373" s="138"/>
      <c r="U373" s="138"/>
      <c r="X373" s="138"/>
    </row>
    <row r="374" spans="4:24" ht="12.75" customHeight="1" x14ac:dyDescent="0.25">
      <c r="D374" s="138"/>
      <c r="E374" s="138"/>
      <c r="L374" s="138"/>
      <c r="O374" s="138"/>
      <c r="R374" s="138"/>
      <c r="U374" s="138"/>
      <c r="X374" s="138"/>
    </row>
    <row r="375" spans="4:24" ht="12.75" customHeight="1" x14ac:dyDescent="0.25">
      <c r="D375" s="138"/>
      <c r="E375" s="138"/>
      <c r="L375" s="138"/>
      <c r="O375" s="138"/>
      <c r="R375" s="138"/>
      <c r="U375" s="138"/>
      <c r="X375" s="138"/>
    </row>
    <row r="376" spans="4:24" ht="12.75" customHeight="1" x14ac:dyDescent="0.25">
      <c r="D376" s="138"/>
      <c r="E376" s="138"/>
      <c r="L376" s="138"/>
      <c r="O376" s="138"/>
      <c r="R376" s="138"/>
      <c r="U376" s="138"/>
      <c r="X376" s="138"/>
    </row>
    <row r="377" spans="4:24" ht="12.75" customHeight="1" x14ac:dyDescent="0.25">
      <c r="D377" s="138"/>
      <c r="E377" s="138"/>
      <c r="L377" s="138"/>
      <c r="O377" s="138"/>
      <c r="R377" s="138"/>
      <c r="U377" s="138"/>
      <c r="X377" s="138"/>
    </row>
    <row r="378" spans="4:24" ht="12.75" customHeight="1" x14ac:dyDescent="0.25">
      <c r="D378" s="138"/>
      <c r="E378" s="138"/>
      <c r="L378" s="138"/>
      <c r="O378" s="138"/>
      <c r="R378" s="138"/>
      <c r="U378" s="138"/>
      <c r="X378" s="138"/>
    </row>
    <row r="379" spans="4:24" ht="12.75" customHeight="1" x14ac:dyDescent="0.25">
      <c r="D379" s="138"/>
      <c r="E379" s="138"/>
      <c r="L379" s="138"/>
      <c r="O379" s="138"/>
      <c r="R379" s="138"/>
      <c r="U379" s="138"/>
      <c r="X379" s="138"/>
    </row>
    <row r="380" spans="4:24" ht="12.75" customHeight="1" x14ac:dyDescent="0.25">
      <c r="D380" s="138"/>
      <c r="E380" s="138"/>
      <c r="L380" s="138"/>
      <c r="O380" s="138"/>
      <c r="R380" s="138"/>
      <c r="U380" s="138"/>
      <c r="X380" s="138"/>
    </row>
    <row r="381" spans="4:24" ht="12.75" customHeight="1" x14ac:dyDescent="0.25">
      <c r="D381" s="138"/>
      <c r="E381" s="138"/>
      <c r="L381" s="138"/>
      <c r="O381" s="138"/>
      <c r="R381" s="138"/>
      <c r="U381" s="138"/>
      <c r="X381" s="138"/>
    </row>
    <row r="382" spans="4:24" ht="12.75" customHeight="1" x14ac:dyDescent="0.25">
      <c r="D382" s="138"/>
      <c r="E382" s="138"/>
      <c r="L382" s="138"/>
      <c r="O382" s="138"/>
      <c r="R382" s="138"/>
      <c r="U382" s="138"/>
      <c r="X382" s="138"/>
    </row>
    <row r="383" spans="4:24" ht="12.75" customHeight="1" x14ac:dyDescent="0.25">
      <c r="D383" s="138"/>
      <c r="E383" s="138"/>
      <c r="L383" s="138"/>
      <c r="O383" s="138"/>
      <c r="R383" s="138"/>
      <c r="U383" s="138"/>
      <c r="X383" s="138"/>
    </row>
    <row r="384" spans="4:24" ht="12.75" customHeight="1" x14ac:dyDescent="0.25">
      <c r="D384" s="138"/>
      <c r="E384" s="138"/>
      <c r="L384" s="138"/>
      <c r="O384" s="138"/>
      <c r="R384" s="138"/>
      <c r="U384" s="138"/>
      <c r="X384" s="138"/>
    </row>
    <row r="385" spans="4:24" ht="12.75" customHeight="1" x14ac:dyDescent="0.25">
      <c r="D385" s="138"/>
      <c r="E385" s="138"/>
      <c r="L385" s="138"/>
      <c r="O385" s="138"/>
      <c r="R385" s="138"/>
      <c r="U385" s="138"/>
      <c r="X385" s="138"/>
    </row>
    <row r="386" spans="4:24" ht="12.75" customHeight="1" x14ac:dyDescent="0.25">
      <c r="D386" s="138"/>
      <c r="E386" s="138"/>
      <c r="L386" s="138"/>
      <c r="O386" s="138"/>
      <c r="R386" s="138"/>
      <c r="U386" s="138"/>
      <c r="X386" s="138"/>
    </row>
    <row r="387" spans="4:24" ht="12.75" customHeight="1" x14ac:dyDescent="0.25">
      <c r="D387" s="138"/>
      <c r="E387" s="138"/>
      <c r="L387" s="138"/>
      <c r="O387" s="138"/>
      <c r="R387" s="138"/>
      <c r="U387" s="138"/>
      <c r="X387" s="138"/>
    </row>
    <row r="388" spans="4:24" ht="12.75" customHeight="1" x14ac:dyDescent="0.25">
      <c r="D388" s="138"/>
      <c r="E388" s="138"/>
      <c r="L388" s="138"/>
      <c r="O388" s="138"/>
      <c r="R388" s="138"/>
      <c r="U388" s="138"/>
      <c r="X388" s="138"/>
    </row>
    <row r="389" spans="4:24" ht="12.75" customHeight="1" x14ac:dyDescent="0.25">
      <c r="D389" s="138"/>
      <c r="E389" s="138"/>
      <c r="L389" s="138"/>
      <c r="O389" s="138"/>
      <c r="R389" s="138"/>
      <c r="U389" s="138"/>
      <c r="X389" s="138"/>
    </row>
    <row r="390" spans="4:24" ht="12.75" customHeight="1" x14ac:dyDescent="0.25">
      <c r="D390" s="138"/>
      <c r="E390" s="138"/>
      <c r="L390" s="138"/>
      <c r="O390" s="138"/>
      <c r="R390" s="138"/>
      <c r="U390" s="138"/>
      <c r="X390" s="138"/>
    </row>
    <row r="391" spans="4:24" ht="12.75" customHeight="1" x14ac:dyDescent="0.25">
      <c r="D391" s="138"/>
      <c r="E391" s="138"/>
      <c r="L391" s="138"/>
      <c r="O391" s="138"/>
      <c r="R391" s="138"/>
      <c r="U391" s="138"/>
      <c r="X391" s="138"/>
    </row>
    <row r="392" spans="4:24" ht="12.75" customHeight="1" x14ac:dyDescent="0.25">
      <c r="D392" s="138"/>
      <c r="E392" s="138"/>
      <c r="L392" s="138"/>
      <c r="O392" s="138"/>
      <c r="R392" s="138"/>
      <c r="U392" s="138"/>
      <c r="X392" s="138"/>
    </row>
    <row r="393" spans="4:24" ht="12.75" customHeight="1" x14ac:dyDescent="0.25">
      <c r="D393" s="138"/>
      <c r="E393" s="138"/>
      <c r="L393" s="138"/>
      <c r="O393" s="138"/>
      <c r="R393" s="138"/>
      <c r="U393" s="138"/>
      <c r="X393" s="138"/>
    </row>
    <row r="394" spans="4:24" ht="12.75" customHeight="1" x14ac:dyDescent="0.25">
      <c r="D394" s="138"/>
      <c r="E394" s="138"/>
      <c r="L394" s="138"/>
      <c r="O394" s="138"/>
      <c r="R394" s="138"/>
      <c r="U394" s="138"/>
      <c r="X394" s="138"/>
    </row>
    <row r="395" spans="4:24" ht="12.75" customHeight="1" x14ac:dyDescent="0.25">
      <c r="D395" s="138"/>
      <c r="E395" s="138"/>
      <c r="L395" s="138"/>
      <c r="O395" s="138"/>
      <c r="R395" s="138"/>
      <c r="U395" s="138"/>
      <c r="X395" s="138"/>
    </row>
    <row r="396" spans="4:24" ht="12.75" customHeight="1" x14ac:dyDescent="0.25">
      <c r="D396" s="138"/>
      <c r="E396" s="138"/>
      <c r="L396" s="138"/>
      <c r="O396" s="138"/>
      <c r="R396" s="138"/>
      <c r="U396" s="138"/>
      <c r="X396" s="138"/>
    </row>
    <row r="397" spans="4:24" ht="12.75" customHeight="1" x14ac:dyDescent="0.25">
      <c r="D397" s="138"/>
      <c r="E397" s="138"/>
      <c r="L397" s="138"/>
      <c r="O397" s="138"/>
      <c r="R397" s="138"/>
      <c r="U397" s="138"/>
      <c r="X397" s="138"/>
    </row>
    <row r="398" spans="4:24" ht="12.75" customHeight="1" x14ac:dyDescent="0.25">
      <c r="D398" s="138"/>
      <c r="E398" s="138"/>
      <c r="L398" s="138"/>
      <c r="O398" s="138"/>
      <c r="R398" s="138"/>
      <c r="U398" s="138"/>
      <c r="X398" s="138"/>
    </row>
    <row r="399" spans="4:24" ht="12.75" customHeight="1" x14ac:dyDescent="0.25">
      <c r="D399" s="138"/>
      <c r="E399" s="138"/>
      <c r="L399" s="138"/>
      <c r="O399" s="138"/>
      <c r="R399" s="138"/>
      <c r="U399" s="138"/>
      <c r="X399" s="138"/>
    </row>
    <row r="400" spans="4:24" ht="12.75" customHeight="1" x14ac:dyDescent="0.25">
      <c r="D400" s="138"/>
      <c r="E400" s="138"/>
      <c r="L400" s="138"/>
      <c r="O400" s="138"/>
      <c r="R400" s="138"/>
      <c r="U400" s="138"/>
      <c r="X400" s="138"/>
    </row>
    <row r="401" spans="4:24" ht="12.75" customHeight="1" x14ac:dyDescent="0.25">
      <c r="D401" s="138"/>
      <c r="E401" s="138"/>
      <c r="L401" s="138"/>
      <c r="O401" s="138"/>
      <c r="R401" s="138"/>
      <c r="U401" s="138"/>
      <c r="X401" s="138"/>
    </row>
    <row r="402" spans="4:24" ht="12.75" customHeight="1" x14ac:dyDescent="0.25">
      <c r="D402" s="138"/>
      <c r="E402" s="138"/>
      <c r="L402" s="138"/>
      <c r="O402" s="138"/>
      <c r="R402" s="138"/>
      <c r="U402" s="138"/>
      <c r="X402" s="138"/>
    </row>
    <row r="403" spans="4:24" ht="12.75" customHeight="1" x14ac:dyDescent="0.25">
      <c r="D403" s="138"/>
      <c r="E403" s="138"/>
      <c r="L403" s="138"/>
      <c r="O403" s="138"/>
      <c r="R403" s="138"/>
      <c r="U403" s="138"/>
      <c r="X403" s="138"/>
    </row>
    <row r="404" spans="4:24" ht="12.75" customHeight="1" x14ac:dyDescent="0.25">
      <c r="D404" s="138"/>
      <c r="E404" s="138"/>
      <c r="L404" s="138"/>
      <c r="O404" s="138"/>
      <c r="R404" s="138"/>
      <c r="U404" s="138"/>
      <c r="X404" s="138"/>
    </row>
    <row r="405" spans="4:24" ht="12.75" customHeight="1" x14ac:dyDescent="0.25">
      <c r="D405" s="138"/>
      <c r="E405" s="138"/>
      <c r="L405" s="138"/>
      <c r="O405" s="138"/>
      <c r="R405" s="138"/>
      <c r="U405" s="138"/>
      <c r="X405" s="138"/>
    </row>
    <row r="406" spans="4:24" ht="12.75" customHeight="1" x14ac:dyDescent="0.25">
      <c r="D406" s="138"/>
      <c r="E406" s="138"/>
      <c r="L406" s="138"/>
      <c r="O406" s="138"/>
      <c r="R406" s="138"/>
      <c r="U406" s="138"/>
      <c r="X406" s="138"/>
    </row>
    <row r="407" spans="4:24" ht="12.75" customHeight="1" x14ac:dyDescent="0.25">
      <c r="D407" s="138"/>
      <c r="E407" s="138"/>
      <c r="L407" s="138"/>
      <c r="O407" s="138"/>
      <c r="R407" s="138"/>
      <c r="U407" s="138"/>
      <c r="X407" s="138"/>
    </row>
    <row r="408" spans="4:24" ht="12.75" customHeight="1" x14ac:dyDescent="0.25">
      <c r="D408" s="138"/>
      <c r="E408" s="138"/>
      <c r="L408" s="138"/>
      <c r="O408" s="138"/>
      <c r="R408" s="138"/>
      <c r="U408" s="138"/>
      <c r="X408" s="138"/>
    </row>
    <row r="409" spans="4:24" ht="12.75" customHeight="1" x14ac:dyDescent="0.25">
      <c r="D409" s="138"/>
      <c r="E409" s="138"/>
      <c r="L409" s="138"/>
      <c r="O409" s="138"/>
      <c r="R409" s="138"/>
      <c r="U409" s="138"/>
      <c r="X409" s="138"/>
    </row>
    <row r="410" spans="4:24" ht="12.75" customHeight="1" x14ac:dyDescent="0.25">
      <c r="D410" s="138"/>
      <c r="E410" s="138"/>
      <c r="L410" s="138"/>
      <c r="O410" s="138"/>
      <c r="R410" s="138"/>
      <c r="U410" s="138"/>
      <c r="X410" s="138"/>
    </row>
    <row r="411" spans="4:24" ht="12.75" customHeight="1" x14ac:dyDescent="0.25">
      <c r="D411" s="138"/>
      <c r="E411" s="138"/>
      <c r="L411" s="138"/>
      <c r="O411" s="138"/>
      <c r="R411" s="138"/>
      <c r="U411" s="138"/>
      <c r="X411" s="138"/>
    </row>
    <row r="412" spans="4:24" ht="12.75" customHeight="1" x14ac:dyDescent="0.25">
      <c r="D412" s="138"/>
      <c r="E412" s="138"/>
      <c r="L412" s="138"/>
      <c r="O412" s="138"/>
      <c r="R412" s="138"/>
      <c r="U412" s="138"/>
      <c r="X412" s="138"/>
    </row>
    <row r="413" spans="4:24" ht="12.75" customHeight="1" x14ac:dyDescent="0.25">
      <c r="D413" s="138"/>
      <c r="E413" s="138"/>
      <c r="L413" s="138"/>
      <c r="O413" s="138"/>
      <c r="R413" s="138"/>
      <c r="U413" s="138"/>
      <c r="X413" s="138"/>
    </row>
    <row r="414" spans="4:24" ht="12.75" customHeight="1" x14ac:dyDescent="0.25">
      <c r="D414" s="138"/>
      <c r="E414" s="138"/>
      <c r="L414" s="138"/>
      <c r="O414" s="138"/>
      <c r="R414" s="138"/>
      <c r="U414" s="138"/>
      <c r="X414" s="138"/>
    </row>
    <row r="415" spans="4:24" ht="12.75" customHeight="1" x14ac:dyDescent="0.25">
      <c r="D415" s="138"/>
      <c r="E415" s="138"/>
      <c r="L415" s="138"/>
      <c r="O415" s="138"/>
      <c r="R415" s="138"/>
      <c r="U415" s="138"/>
      <c r="X415" s="138"/>
    </row>
    <row r="416" spans="4:24" ht="12.75" customHeight="1" x14ac:dyDescent="0.25">
      <c r="D416" s="138"/>
      <c r="E416" s="138"/>
      <c r="L416" s="138"/>
      <c r="O416" s="138"/>
      <c r="R416" s="138"/>
      <c r="U416" s="138"/>
      <c r="X416" s="138"/>
    </row>
    <row r="417" spans="4:24" ht="12.75" customHeight="1" x14ac:dyDescent="0.25">
      <c r="D417" s="138"/>
      <c r="E417" s="138"/>
      <c r="L417" s="138"/>
      <c r="O417" s="138"/>
      <c r="R417" s="138"/>
      <c r="U417" s="138"/>
      <c r="X417" s="138"/>
    </row>
    <row r="418" spans="4:24" ht="12.75" customHeight="1" x14ac:dyDescent="0.25">
      <c r="D418" s="138"/>
      <c r="E418" s="138"/>
      <c r="L418" s="138"/>
      <c r="O418" s="138"/>
      <c r="R418" s="138"/>
      <c r="U418" s="138"/>
      <c r="X418" s="138"/>
    </row>
    <row r="419" spans="4:24" ht="12.75" customHeight="1" x14ac:dyDescent="0.25">
      <c r="D419" s="138"/>
      <c r="E419" s="138"/>
      <c r="L419" s="138"/>
      <c r="O419" s="138"/>
      <c r="R419" s="138"/>
      <c r="U419" s="138"/>
      <c r="X419" s="138"/>
    </row>
    <row r="420" spans="4:24" ht="12.75" customHeight="1" x14ac:dyDescent="0.25">
      <c r="D420" s="138"/>
      <c r="E420" s="138"/>
      <c r="L420" s="138"/>
      <c r="O420" s="138"/>
      <c r="R420" s="138"/>
      <c r="U420" s="138"/>
      <c r="X420" s="138"/>
    </row>
    <row r="421" spans="4:24" ht="12.75" customHeight="1" x14ac:dyDescent="0.25">
      <c r="D421" s="138"/>
      <c r="E421" s="138"/>
      <c r="L421" s="138"/>
      <c r="O421" s="138"/>
      <c r="R421" s="138"/>
      <c r="U421" s="138"/>
      <c r="X421" s="138"/>
    </row>
    <row r="422" spans="4:24" ht="12.75" customHeight="1" x14ac:dyDescent="0.25">
      <c r="D422" s="138"/>
      <c r="E422" s="138"/>
      <c r="L422" s="138"/>
      <c r="O422" s="138"/>
      <c r="R422" s="138"/>
      <c r="U422" s="138"/>
      <c r="X422" s="138"/>
    </row>
    <row r="423" spans="4:24" ht="12.75" customHeight="1" x14ac:dyDescent="0.25">
      <c r="D423" s="138"/>
      <c r="E423" s="138"/>
      <c r="L423" s="138"/>
      <c r="O423" s="138"/>
      <c r="R423" s="138"/>
      <c r="U423" s="138"/>
      <c r="X423" s="138"/>
    </row>
    <row r="424" spans="4:24" ht="12.75" customHeight="1" x14ac:dyDescent="0.25">
      <c r="D424" s="138"/>
      <c r="E424" s="138"/>
      <c r="L424" s="138"/>
      <c r="O424" s="138"/>
      <c r="R424" s="138"/>
      <c r="U424" s="138"/>
      <c r="X424" s="138"/>
    </row>
    <row r="425" spans="4:24" ht="12.75" customHeight="1" x14ac:dyDescent="0.25">
      <c r="D425" s="138"/>
      <c r="E425" s="138"/>
      <c r="L425" s="138"/>
      <c r="O425" s="138"/>
      <c r="R425" s="138"/>
      <c r="U425" s="138"/>
      <c r="X425" s="138"/>
    </row>
    <row r="426" spans="4:24" ht="12.75" customHeight="1" x14ac:dyDescent="0.25">
      <c r="D426" s="138"/>
      <c r="E426" s="138"/>
      <c r="L426" s="138"/>
      <c r="O426" s="138"/>
      <c r="R426" s="138"/>
      <c r="U426" s="138"/>
      <c r="X426" s="138"/>
    </row>
    <row r="427" spans="4:24" ht="12.75" customHeight="1" x14ac:dyDescent="0.25">
      <c r="D427" s="138"/>
      <c r="E427" s="138"/>
      <c r="L427" s="138"/>
      <c r="O427" s="138"/>
      <c r="R427" s="138"/>
      <c r="U427" s="138"/>
      <c r="X427" s="138"/>
    </row>
    <row r="428" spans="4:24" ht="12.75" customHeight="1" x14ac:dyDescent="0.25">
      <c r="D428" s="138"/>
      <c r="E428" s="138"/>
      <c r="L428" s="138"/>
      <c r="O428" s="138"/>
      <c r="R428" s="138"/>
      <c r="U428" s="138"/>
      <c r="X428" s="138"/>
    </row>
    <row r="429" spans="4:24" ht="12.75" customHeight="1" x14ac:dyDescent="0.25">
      <c r="D429" s="138"/>
      <c r="E429" s="138"/>
      <c r="L429" s="138"/>
      <c r="O429" s="138"/>
      <c r="R429" s="138"/>
      <c r="U429" s="138"/>
      <c r="X429" s="138"/>
    </row>
    <row r="430" spans="4:24" ht="12.75" customHeight="1" x14ac:dyDescent="0.25">
      <c r="D430" s="138"/>
      <c r="E430" s="138"/>
      <c r="L430" s="138"/>
      <c r="O430" s="138"/>
      <c r="R430" s="138"/>
      <c r="U430" s="138"/>
      <c r="X430" s="138"/>
    </row>
    <row r="431" spans="4:24" ht="12.75" customHeight="1" x14ac:dyDescent="0.25">
      <c r="D431" s="138"/>
      <c r="E431" s="138"/>
      <c r="L431" s="138"/>
      <c r="O431" s="138"/>
      <c r="R431" s="138"/>
      <c r="U431" s="138"/>
      <c r="X431" s="138"/>
    </row>
    <row r="432" spans="4:24" ht="12.75" customHeight="1" x14ac:dyDescent="0.25">
      <c r="D432" s="138"/>
      <c r="E432" s="138"/>
      <c r="L432" s="138"/>
      <c r="O432" s="138"/>
      <c r="R432" s="138"/>
      <c r="U432" s="138"/>
      <c r="X432" s="138"/>
    </row>
    <row r="433" spans="4:24" ht="12.75" customHeight="1" x14ac:dyDescent="0.25">
      <c r="D433" s="138"/>
      <c r="E433" s="138"/>
      <c r="L433" s="138"/>
      <c r="O433" s="138"/>
      <c r="R433" s="138"/>
      <c r="U433" s="138"/>
      <c r="X433" s="138"/>
    </row>
    <row r="434" spans="4:24" ht="12.75" customHeight="1" x14ac:dyDescent="0.25">
      <c r="D434" s="138"/>
      <c r="E434" s="138"/>
      <c r="L434" s="138"/>
      <c r="O434" s="138"/>
      <c r="R434" s="138"/>
      <c r="U434" s="138"/>
      <c r="X434" s="138"/>
    </row>
    <row r="435" spans="4:24" ht="12.75" customHeight="1" x14ac:dyDescent="0.25">
      <c r="D435" s="138"/>
      <c r="E435" s="138"/>
      <c r="L435" s="138"/>
      <c r="O435" s="138"/>
      <c r="R435" s="138"/>
      <c r="U435" s="138"/>
      <c r="X435" s="138"/>
    </row>
    <row r="436" spans="4:24" ht="12.75" customHeight="1" x14ac:dyDescent="0.25">
      <c r="D436" s="138"/>
      <c r="E436" s="138"/>
      <c r="L436" s="138"/>
      <c r="O436" s="138"/>
      <c r="R436" s="138"/>
      <c r="U436" s="138"/>
      <c r="X436" s="138"/>
    </row>
    <row r="437" spans="4:24" ht="12.75" customHeight="1" x14ac:dyDescent="0.25">
      <c r="D437" s="138"/>
      <c r="E437" s="138"/>
      <c r="L437" s="138"/>
      <c r="O437" s="138"/>
      <c r="R437" s="138"/>
      <c r="U437" s="138"/>
      <c r="X437" s="138"/>
    </row>
    <row r="438" spans="4:24" ht="12.75" customHeight="1" x14ac:dyDescent="0.25">
      <c r="D438" s="138"/>
      <c r="E438" s="138"/>
      <c r="L438" s="138"/>
      <c r="O438" s="138"/>
      <c r="R438" s="138"/>
      <c r="U438" s="138"/>
      <c r="X438" s="138"/>
    </row>
    <row r="439" spans="4:24" ht="12.75" customHeight="1" x14ac:dyDescent="0.25">
      <c r="D439" s="138"/>
      <c r="E439" s="138"/>
      <c r="L439" s="138"/>
      <c r="O439" s="138"/>
      <c r="R439" s="138"/>
      <c r="U439" s="138"/>
      <c r="X439" s="138"/>
    </row>
    <row r="440" spans="4:24" ht="12.75" customHeight="1" x14ac:dyDescent="0.25">
      <c r="D440" s="138"/>
      <c r="E440" s="138"/>
      <c r="L440" s="138"/>
      <c r="O440" s="138"/>
      <c r="R440" s="138"/>
      <c r="U440" s="138"/>
      <c r="X440" s="138"/>
    </row>
    <row r="441" spans="4:24" ht="12.75" customHeight="1" x14ac:dyDescent="0.25">
      <c r="D441" s="138"/>
      <c r="E441" s="138"/>
      <c r="L441" s="138"/>
      <c r="O441" s="138"/>
      <c r="R441" s="138"/>
      <c r="U441" s="138"/>
      <c r="X441" s="138"/>
    </row>
    <row r="442" spans="4:24" ht="12.75" customHeight="1" x14ac:dyDescent="0.25">
      <c r="D442" s="138"/>
      <c r="E442" s="138"/>
      <c r="L442" s="138"/>
      <c r="O442" s="138"/>
      <c r="R442" s="138"/>
      <c r="U442" s="138"/>
      <c r="X442" s="138"/>
    </row>
    <row r="443" spans="4:24" ht="12.75" customHeight="1" x14ac:dyDescent="0.25">
      <c r="D443" s="138"/>
      <c r="E443" s="138"/>
      <c r="L443" s="138"/>
      <c r="O443" s="138"/>
      <c r="R443" s="138"/>
      <c r="U443" s="138"/>
      <c r="X443" s="138"/>
    </row>
    <row r="444" spans="4:24" ht="12.75" customHeight="1" x14ac:dyDescent="0.25">
      <c r="D444" s="138"/>
      <c r="E444" s="138"/>
      <c r="L444" s="138"/>
      <c r="O444" s="138"/>
      <c r="R444" s="138"/>
      <c r="U444" s="138"/>
      <c r="X444" s="138"/>
    </row>
    <row r="445" spans="4:24" ht="12.75" customHeight="1" x14ac:dyDescent="0.25">
      <c r="D445" s="138"/>
      <c r="E445" s="138"/>
      <c r="L445" s="138"/>
      <c r="O445" s="138"/>
      <c r="R445" s="138"/>
      <c r="U445" s="138"/>
      <c r="X445" s="138"/>
    </row>
    <row r="446" spans="4:24" ht="12.75" customHeight="1" x14ac:dyDescent="0.25">
      <c r="D446" s="138"/>
      <c r="E446" s="138"/>
      <c r="L446" s="138"/>
      <c r="O446" s="138"/>
      <c r="R446" s="138"/>
      <c r="U446" s="138"/>
      <c r="X446" s="138"/>
    </row>
    <row r="447" spans="4:24" ht="12.75" customHeight="1" x14ac:dyDescent="0.25">
      <c r="D447" s="138"/>
      <c r="E447" s="138"/>
      <c r="L447" s="138"/>
      <c r="O447" s="138"/>
      <c r="R447" s="138"/>
      <c r="U447" s="138"/>
      <c r="X447" s="138"/>
    </row>
    <row r="448" spans="4:24" ht="12.75" customHeight="1" x14ac:dyDescent="0.25">
      <c r="D448" s="138"/>
      <c r="E448" s="138"/>
      <c r="L448" s="138"/>
      <c r="O448" s="138"/>
      <c r="R448" s="138"/>
      <c r="U448" s="138"/>
      <c r="X448" s="138"/>
    </row>
    <row r="449" spans="4:24" ht="12.75" customHeight="1" x14ac:dyDescent="0.25">
      <c r="D449" s="138"/>
      <c r="E449" s="138"/>
      <c r="L449" s="138"/>
      <c r="O449" s="138"/>
      <c r="R449" s="138"/>
      <c r="U449" s="138"/>
      <c r="X449" s="138"/>
    </row>
    <row r="450" spans="4:24" ht="12.75" customHeight="1" x14ac:dyDescent="0.25">
      <c r="D450" s="138"/>
      <c r="E450" s="138"/>
      <c r="L450" s="138"/>
      <c r="O450" s="138"/>
      <c r="R450" s="138"/>
      <c r="U450" s="138"/>
      <c r="X450" s="138"/>
    </row>
    <row r="451" spans="4:24" ht="12.75" customHeight="1" x14ac:dyDescent="0.25">
      <c r="D451" s="138"/>
      <c r="E451" s="138"/>
      <c r="L451" s="138"/>
      <c r="O451" s="138"/>
      <c r="R451" s="138"/>
      <c r="U451" s="138"/>
      <c r="X451" s="138"/>
    </row>
    <row r="452" spans="4:24" ht="12.75" customHeight="1" x14ac:dyDescent="0.25">
      <c r="D452" s="138"/>
      <c r="E452" s="138"/>
      <c r="L452" s="138"/>
      <c r="O452" s="138"/>
      <c r="R452" s="138"/>
      <c r="U452" s="138"/>
      <c r="X452" s="138"/>
    </row>
    <row r="453" spans="4:24" ht="12.75" customHeight="1" x14ac:dyDescent="0.25">
      <c r="D453" s="138"/>
      <c r="E453" s="138"/>
      <c r="L453" s="138"/>
      <c r="O453" s="138"/>
      <c r="R453" s="138"/>
      <c r="U453" s="138"/>
      <c r="X453" s="138"/>
    </row>
    <row r="454" spans="4:24" ht="12.75" customHeight="1" x14ac:dyDescent="0.25">
      <c r="D454" s="138"/>
      <c r="E454" s="138"/>
      <c r="L454" s="138"/>
      <c r="O454" s="138"/>
      <c r="R454" s="138"/>
      <c r="U454" s="138"/>
      <c r="X454" s="138"/>
    </row>
    <row r="455" spans="4:24" ht="12.75" customHeight="1" x14ac:dyDescent="0.25">
      <c r="D455" s="138"/>
      <c r="E455" s="138"/>
      <c r="L455" s="138"/>
      <c r="O455" s="138"/>
      <c r="R455" s="138"/>
      <c r="U455" s="138"/>
      <c r="X455" s="138"/>
    </row>
    <row r="456" spans="4:24" ht="12.75" customHeight="1" x14ac:dyDescent="0.25">
      <c r="D456" s="138"/>
      <c r="E456" s="138"/>
      <c r="L456" s="138"/>
      <c r="O456" s="138"/>
      <c r="R456" s="138"/>
      <c r="U456" s="138"/>
      <c r="X456" s="138"/>
    </row>
    <row r="457" spans="4:24" ht="12.75" customHeight="1" x14ac:dyDescent="0.25">
      <c r="D457" s="138"/>
      <c r="E457" s="138"/>
      <c r="L457" s="138"/>
      <c r="O457" s="138"/>
      <c r="R457" s="138"/>
      <c r="U457" s="138"/>
      <c r="X457" s="138"/>
    </row>
    <row r="458" spans="4:24" ht="12.75" customHeight="1" x14ac:dyDescent="0.25">
      <c r="D458" s="138"/>
      <c r="E458" s="138"/>
      <c r="L458" s="138"/>
      <c r="O458" s="138"/>
      <c r="R458" s="138"/>
      <c r="U458" s="138"/>
      <c r="X458" s="138"/>
    </row>
    <row r="459" spans="4:24" ht="12.75" customHeight="1" x14ac:dyDescent="0.25">
      <c r="D459" s="138"/>
      <c r="E459" s="138"/>
      <c r="L459" s="138"/>
      <c r="O459" s="138"/>
      <c r="R459" s="138"/>
      <c r="U459" s="138"/>
      <c r="X459" s="138"/>
    </row>
    <row r="460" spans="4:24" ht="12.75" customHeight="1" x14ac:dyDescent="0.25">
      <c r="D460" s="138"/>
      <c r="E460" s="138"/>
      <c r="L460" s="138"/>
      <c r="O460" s="138"/>
      <c r="R460" s="138"/>
      <c r="U460" s="138"/>
      <c r="X460" s="138"/>
    </row>
    <row r="461" spans="4:24" ht="12.75" customHeight="1" x14ac:dyDescent="0.25">
      <c r="D461" s="138"/>
      <c r="E461" s="138"/>
      <c r="L461" s="138"/>
      <c r="O461" s="138"/>
      <c r="R461" s="138"/>
      <c r="U461" s="138"/>
      <c r="X461" s="138"/>
    </row>
    <row r="462" spans="4:24" ht="12.75" customHeight="1" x14ac:dyDescent="0.25">
      <c r="D462" s="138"/>
      <c r="E462" s="138"/>
      <c r="L462" s="138"/>
      <c r="O462" s="138"/>
      <c r="R462" s="138"/>
      <c r="U462" s="138"/>
      <c r="X462" s="138"/>
    </row>
    <row r="463" spans="4:24" ht="12.75" customHeight="1" x14ac:dyDescent="0.25">
      <c r="D463" s="138"/>
      <c r="E463" s="138"/>
      <c r="L463" s="138"/>
      <c r="O463" s="138"/>
      <c r="R463" s="138"/>
      <c r="U463" s="138"/>
      <c r="X463" s="138"/>
    </row>
    <row r="464" spans="4:24" ht="12.75" customHeight="1" x14ac:dyDescent="0.25">
      <c r="D464" s="138"/>
      <c r="E464" s="138"/>
      <c r="L464" s="138"/>
      <c r="O464" s="138"/>
      <c r="R464" s="138"/>
      <c r="U464" s="138"/>
      <c r="X464" s="138"/>
    </row>
    <row r="465" spans="4:24" ht="12.75" customHeight="1" x14ac:dyDescent="0.25">
      <c r="D465" s="138"/>
      <c r="E465" s="138"/>
      <c r="L465" s="138"/>
      <c r="O465" s="138"/>
      <c r="R465" s="138"/>
      <c r="U465" s="138"/>
      <c r="X465" s="138"/>
    </row>
    <row r="466" spans="4:24" ht="12.75" customHeight="1" x14ac:dyDescent="0.25">
      <c r="D466" s="138"/>
      <c r="E466" s="138"/>
      <c r="L466" s="138"/>
      <c r="O466" s="138"/>
      <c r="R466" s="138"/>
      <c r="U466" s="138"/>
      <c r="X466" s="138"/>
    </row>
    <row r="467" spans="4:24" ht="12.75" customHeight="1" x14ac:dyDescent="0.25">
      <c r="D467" s="138"/>
      <c r="E467" s="138"/>
      <c r="L467" s="138"/>
      <c r="O467" s="138"/>
      <c r="R467" s="138"/>
      <c r="U467" s="138"/>
      <c r="X467" s="138"/>
    </row>
    <row r="468" spans="4:24" ht="12.75" customHeight="1" x14ac:dyDescent="0.25">
      <c r="D468" s="138"/>
      <c r="E468" s="138"/>
      <c r="L468" s="138"/>
      <c r="O468" s="138"/>
      <c r="R468" s="138"/>
      <c r="U468" s="138"/>
      <c r="X468" s="138"/>
    </row>
    <row r="469" spans="4:24" ht="12.75" customHeight="1" x14ac:dyDescent="0.25">
      <c r="D469" s="138"/>
      <c r="E469" s="138"/>
      <c r="L469" s="138"/>
      <c r="O469" s="138"/>
      <c r="R469" s="138"/>
      <c r="U469" s="138"/>
      <c r="X469" s="138"/>
    </row>
    <row r="470" spans="4:24" ht="12.75" customHeight="1" x14ac:dyDescent="0.25">
      <c r="D470" s="138"/>
      <c r="E470" s="138"/>
      <c r="L470" s="138"/>
      <c r="O470" s="138"/>
      <c r="R470" s="138"/>
      <c r="U470" s="138"/>
      <c r="X470" s="138"/>
    </row>
    <row r="471" spans="4:24" ht="12.75" customHeight="1" x14ac:dyDescent="0.25">
      <c r="D471" s="138"/>
      <c r="E471" s="138"/>
      <c r="L471" s="138"/>
      <c r="O471" s="138"/>
      <c r="R471" s="138"/>
      <c r="U471" s="138"/>
      <c r="X471" s="138"/>
    </row>
    <row r="472" spans="4:24" ht="12.75" customHeight="1" x14ac:dyDescent="0.25">
      <c r="D472" s="138"/>
      <c r="E472" s="138"/>
      <c r="L472" s="138"/>
      <c r="O472" s="138"/>
      <c r="R472" s="138"/>
      <c r="U472" s="138"/>
      <c r="X472" s="138"/>
    </row>
    <row r="473" spans="4:24" ht="12.75" customHeight="1" x14ac:dyDescent="0.25">
      <c r="D473" s="138"/>
      <c r="E473" s="138"/>
      <c r="L473" s="138"/>
      <c r="O473" s="138"/>
      <c r="R473" s="138"/>
      <c r="U473" s="138"/>
      <c r="X473" s="138"/>
    </row>
    <row r="474" spans="4:24" ht="12.75" customHeight="1" x14ac:dyDescent="0.25">
      <c r="D474" s="138"/>
      <c r="E474" s="138"/>
      <c r="L474" s="138"/>
      <c r="O474" s="138"/>
      <c r="R474" s="138"/>
      <c r="U474" s="138"/>
      <c r="X474" s="138"/>
    </row>
    <row r="475" spans="4:24" ht="12.75" customHeight="1" x14ac:dyDescent="0.25">
      <c r="D475" s="138"/>
      <c r="E475" s="138"/>
      <c r="L475" s="138"/>
      <c r="O475" s="138"/>
      <c r="R475" s="138"/>
      <c r="U475" s="138"/>
      <c r="X475" s="138"/>
    </row>
    <row r="476" spans="4:24" ht="12.75" customHeight="1" x14ac:dyDescent="0.25">
      <c r="D476" s="138"/>
      <c r="E476" s="138"/>
      <c r="L476" s="138"/>
      <c r="O476" s="138"/>
      <c r="R476" s="138"/>
      <c r="U476" s="138"/>
      <c r="X476" s="138"/>
    </row>
    <row r="477" spans="4:24" ht="12.75" customHeight="1" x14ac:dyDescent="0.25">
      <c r="D477" s="138"/>
      <c r="E477" s="138"/>
      <c r="L477" s="138"/>
      <c r="O477" s="138"/>
      <c r="R477" s="138"/>
      <c r="U477" s="138"/>
      <c r="X477" s="138"/>
    </row>
    <row r="478" spans="4:24" ht="12.75" customHeight="1" x14ac:dyDescent="0.25">
      <c r="D478" s="138"/>
      <c r="E478" s="138"/>
      <c r="L478" s="138"/>
      <c r="O478" s="138"/>
      <c r="R478" s="138"/>
      <c r="U478" s="138"/>
      <c r="X478" s="138"/>
    </row>
    <row r="479" spans="4:24" ht="12.75" customHeight="1" x14ac:dyDescent="0.25">
      <c r="D479" s="138"/>
      <c r="E479" s="138"/>
      <c r="L479" s="138"/>
      <c r="O479" s="138"/>
      <c r="R479" s="138"/>
      <c r="U479" s="138"/>
      <c r="X479" s="138"/>
    </row>
    <row r="480" spans="4:24" ht="12.75" customHeight="1" x14ac:dyDescent="0.25">
      <c r="D480" s="138"/>
      <c r="E480" s="138"/>
      <c r="L480" s="138"/>
      <c r="O480" s="138"/>
      <c r="R480" s="138"/>
      <c r="U480" s="138"/>
      <c r="X480" s="138"/>
    </row>
    <row r="481" spans="4:24" ht="12.75" customHeight="1" x14ac:dyDescent="0.25">
      <c r="D481" s="138"/>
      <c r="E481" s="138"/>
      <c r="L481" s="138"/>
      <c r="O481" s="138"/>
      <c r="R481" s="138"/>
      <c r="U481" s="138"/>
      <c r="X481" s="138"/>
    </row>
    <row r="482" spans="4:24" ht="12.75" customHeight="1" x14ac:dyDescent="0.25">
      <c r="D482" s="138"/>
      <c r="E482" s="138"/>
      <c r="L482" s="138"/>
      <c r="O482" s="138"/>
      <c r="R482" s="138"/>
      <c r="U482" s="138"/>
      <c r="X482" s="138"/>
    </row>
    <row r="483" spans="4:24" ht="12.75" customHeight="1" x14ac:dyDescent="0.25">
      <c r="D483" s="138"/>
      <c r="E483" s="138"/>
      <c r="L483" s="138"/>
      <c r="O483" s="138"/>
      <c r="R483" s="138"/>
      <c r="U483" s="138"/>
      <c r="X483" s="138"/>
    </row>
    <row r="484" spans="4:24" ht="12.75" customHeight="1" x14ac:dyDescent="0.25">
      <c r="D484" s="138"/>
      <c r="E484" s="138"/>
      <c r="L484" s="138"/>
      <c r="O484" s="138"/>
      <c r="R484" s="138"/>
      <c r="U484" s="138"/>
      <c r="X484" s="138"/>
    </row>
    <row r="485" spans="4:24" ht="12.75" customHeight="1" x14ac:dyDescent="0.25">
      <c r="D485" s="138"/>
      <c r="E485" s="138"/>
      <c r="L485" s="138"/>
      <c r="O485" s="138"/>
      <c r="R485" s="138"/>
      <c r="U485" s="138"/>
      <c r="X485" s="138"/>
    </row>
    <row r="486" spans="4:24" ht="12.75" customHeight="1" x14ac:dyDescent="0.25">
      <c r="D486" s="138"/>
      <c r="E486" s="138"/>
      <c r="L486" s="138"/>
      <c r="O486" s="138"/>
      <c r="R486" s="138"/>
      <c r="U486" s="138"/>
      <c r="X486" s="138"/>
    </row>
    <row r="487" spans="4:24" ht="12.75" customHeight="1" x14ac:dyDescent="0.25">
      <c r="D487" s="138"/>
      <c r="E487" s="138"/>
      <c r="L487" s="138"/>
      <c r="O487" s="138"/>
      <c r="R487" s="138"/>
      <c r="U487" s="138"/>
      <c r="X487" s="138"/>
    </row>
    <row r="488" spans="4:24" ht="12.75" customHeight="1" x14ac:dyDescent="0.25">
      <c r="D488" s="138"/>
      <c r="E488" s="138"/>
      <c r="L488" s="138"/>
      <c r="O488" s="138"/>
      <c r="R488" s="138"/>
      <c r="U488" s="138"/>
      <c r="X488" s="138"/>
    </row>
    <row r="489" spans="4:24" ht="12.75" customHeight="1" x14ac:dyDescent="0.25">
      <c r="D489" s="138"/>
      <c r="E489" s="138"/>
      <c r="L489" s="138"/>
      <c r="O489" s="138"/>
      <c r="R489" s="138"/>
      <c r="U489" s="138"/>
      <c r="X489" s="138"/>
    </row>
    <row r="490" spans="4:24" ht="12.75" customHeight="1" x14ac:dyDescent="0.25">
      <c r="D490" s="138"/>
      <c r="E490" s="138"/>
      <c r="L490" s="138"/>
      <c r="O490" s="138"/>
      <c r="R490" s="138"/>
      <c r="U490" s="138"/>
      <c r="X490" s="138"/>
    </row>
    <row r="491" spans="4:24" ht="12.75" customHeight="1" x14ac:dyDescent="0.25">
      <c r="D491" s="138"/>
      <c r="E491" s="138"/>
      <c r="L491" s="138"/>
      <c r="O491" s="138"/>
      <c r="R491" s="138"/>
      <c r="U491" s="138"/>
      <c r="X491" s="138"/>
    </row>
    <row r="492" spans="4:24" ht="12.75" customHeight="1" x14ac:dyDescent="0.25">
      <c r="D492" s="138"/>
      <c r="E492" s="138"/>
      <c r="L492" s="138"/>
      <c r="O492" s="138"/>
      <c r="R492" s="138"/>
      <c r="U492" s="138"/>
      <c r="X492" s="138"/>
    </row>
    <row r="493" spans="4:24" ht="12.75" customHeight="1" x14ac:dyDescent="0.25">
      <c r="D493" s="138"/>
      <c r="E493" s="138"/>
      <c r="L493" s="138"/>
      <c r="O493" s="138"/>
      <c r="R493" s="138"/>
      <c r="U493" s="138"/>
      <c r="X493" s="138"/>
    </row>
    <row r="494" spans="4:24" ht="12.75" customHeight="1" x14ac:dyDescent="0.25">
      <c r="D494" s="138"/>
      <c r="E494" s="138"/>
      <c r="L494" s="138"/>
      <c r="O494" s="138"/>
      <c r="R494" s="138"/>
      <c r="U494" s="138"/>
      <c r="X494" s="138"/>
    </row>
    <row r="495" spans="4:24" ht="12.75" customHeight="1" x14ac:dyDescent="0.25">
      <c r="D495" s="138"/>
      <c r="E495" s="138"/>
      <c r="L495" s="138"/>
      <c r="O495" s="138"/>
      <c r="R495" s="138"/>
      <c r="U495" s="138"/>
      <c r="X495" s="138"/>
    </row>
    <row r="496" spans="4:24" ht="12.75" customHeight="1" x14ac:dyDescent="0.25">
      <c r="D496" s="138"/>
      <c r="E496" s="138"/>
      <c r="L496" s="138"/>
      <c r="O496" s="138"/>
      <c r="R496" s="138"/>
      <c r="U496" s="138"/>
      <c r="X496" s="138"/>
    </row>
    <row r="497" spans="4:24" ht="12.75" customHeight="1" x14ac:dyDescent="0.25">
      <c r="D497" s="138"/>
      <c r="E497" s="138"/>
      <c r="L497" s="138"/>
      <c r="O497" s="138"/>
      <c r="R497" s="138"/>
      <c r="U497" s="138"/>
      <c r="X497" s="138"/>
    </row>
    <row r="498" spans="4:24" ht="12.75" customHeight="1" x14ac:dyDescent="0.25">
      <c r="D498" s="138"/>
      <c r="E498" s="138"/>
      <c r="L498" s="138"/>
      <c r="O498" s="138"/>
      <c r="R498" s="138"/>
      <c r="U498" s="138"/>
      <c r="X498" s="138"/>
    </row>
    <row r="499" spans="4:24" ht="12.75" customHeight="1" x14ac:dyDescent="0.25">
      <c r="D499" s="138"/>
      <c r="E499" s="138"/>
      <c r="L499" s="138"/>
      <c r="O499" s="138"/>
      <c r="R499" s="138"/>
      <c r="U499" s="138"/>
      <c r="X499" s="138"/>
    </row>
    <row r="500" spans="4:24" ht="12.75" customHeight="1" x14ac:dyDescent="0.25">
      <c r="D500" s="138"/>
      <c r="E500" s="138"/>
      <c r="L500" s="138"/>
      <c r="O500" s="138"/>
      <c r="R500" s="138"/>
      <c r="U500" s="138"/>
      <c r="X500" s="138"/>
    </row>
    <row r="501" spans="4:24" ht="12.75" customHeight="1" x14ac:dyDescent="0.25">
      <c r="D501" s="138"/>
      <c r="E501" s="138"/>
      <c r="L501" s="138"/>
      <c r="O501" s="138"/>
      <c r="R501" s="138"/>
      <c r="U501" s="138"/>
      <c r="X501" s="138"/>
    </row>
    <row r="502" spans="4:24" ht="12.75" customHeight="1" x14ac:dyDescent="0.25">
      <c r="D502" s="138"/>
      <c r="E502" s="138"/>
      <c r="L502" s="138"/>
      <c r="O502" s="138"/>
      <c r="R502" s="138"/>
      <c r="U502" s="138"/>
      <c r="X502" s="138"/>
    </row>
    <row r="503" spans="4:24" ht="12.75" customHeight="1" x14ac:dyDescent="0.25">
      <c r="D503" s="138"/>
      <c r="E503" s="138"/>
      <c r="L503" s="138"/>
      <c r="O503" s="138"/>
      <c r="R503" s="138"/>
      <c r="U503" s="138"/>
      <c r="X503" s="138"/>
    </row>
    <row r="504" spans="4:24" ht="12.75" customHeight="1" x14ac:dyDescent="0.25">
      <c r="D504" s="138"/>
      <c r="E504" s="138"/>
      <c r="L504" s="138"/>
      <c r="O504" s="138"/>
      <c r="R504" s="138"/>
      <c r="U504" s="138"/>
      <c r="X504" s="138"/>
    </row>
    <row r="505" spans="4:24" ht="12.75" customHeight="1" x14ac:dyDescent="0.25">
      <c r="D505" s="138"/>
      <c r="E505" s="138"/>
      <c r="L505" s="138"/>
      <c r="O505" s="138"/>
      <c r="R505" s="138"/>
      <c r="U505" s="138"/>
      <c r="X505" s="138"/>
    </row>
    <row r="506" spans="4:24" ht="12.75" customHeight="1" x14ac:dyDescent="0.25">
      <c r="D506" s="138"/>
      <c r="E506" s="138"/>
      <c r="L506" s="138"/>
      <c r="O506" s="138"/>
      <c r="R506" s="138"/>
      <c r="U506" s="138"/>
      <c r="X506" s="138"/>
    </row>
    <row r="507" spans="4:24" ht="12.75" customHeight="1" x14ac:dyDescent="0.25">
      <c r="D507" s="138"/>
      <c r="E507" s="138"/>
      <c r="L507" s="138"/>
      <c r="O507" s="138"/>
      <c r="R507" s="138"/>
      <c r="U507" s="138"/>
      <c r="X507" s="138"/>
    </row>
    <row r="508" spans="4:24" ht="12.75" customHeight="1" x14ac:dyDescent="0.25">
      <c r="D508" s="138"/>
      <c r="E508" s="138"/>
      <c r="L508" s="138"/>
      <c r="O508" s="138"/>
      <c r="R508" s="138"/>
      <c r="U508" s="138"/>
      <c r="X508" s="138"/>
    </row>
    <row r="509" spans="4:24" ht="12.75" customHeight="1" x14ac:dyDescent="0.25">
      <c r="D509" s="138"/>
      <c r="E509" s="138"/>
      <c r="L509" s="138"/>
      <c r="O509" s="138"/>
      <c r="R509" s="138"/>
      <c r="U509" s="138"/>
      <c r="X509" s="138"/>
    </row>
    <row r="510" spans="4:24" ht="12.75" customHeight="1" x14ac:dyDescent="0.25">
      <c r="D510" s="138"/>
      <c r="E510" s="138"/>
      <c r="L510" s="138"/>
      <c r="O510" s="138"/>
      <c r="R510" s="138"/>
      <c r="U510" s="138"/>
      <c r="X510" s="138"/>
    </row>
    <row r="511" spans="4:24" ht="12.75" customHeight="1" x14ac:dyDescent="0.25">
      <c r="D511" s="138"/>
      <c r="E511" s="138"/>
      <c r="L511" s="138"/>
      <c r="O511" s="138"/>
      <c r="R511" s="138"/>
      <c r="U511" s="138"/>
      <c r="X511" s="138"/>
    </row>
    <row r="512" spans="4:24" ht="12.75" customHeight="1" x14ac:dyDescent="0.25">
      <c r="D512" s="138"/>
      <c r="E512" s="138"/>
      <c r="L512" s="138"/>
      <c r="O512" s="138"/>
      <c r="R512" s="138"/>
      <c r="U512" s="138"/>
      <c r="X512" s="138"/>
    </row>
    <row r="513" spans="4:24" ht="12.75" customHeight="1" x14ac:dyDescent="0.25">
      <c r="D513" s="138"/>
      <c r="E513" s="138"/>
      <c r="L513" s="138"/>
      <c r="O513" s="138"/>
      <c r="R513" s="138"/>
      <c r="U513" s="138"/>
      <c r="X513" s="138"/>
    </row>
    <row r="514" spans="4:24" ht="12.75" customHeight="1" x14ac:dyDescent="0.25">
      <c r="D514" s="138"/>
      <c r="E514" s="138"/>
      <c r="L514" s="138"/>
      <c r="O514" s="138"/>
      <c r="R514" s="138"/>
      <c r="U514" s="138"/>
      <c r="X514" s="138"/>
    </row>
    <row r="515" spans="4:24" ht="12.75" customHeight="1" x14ac:dyDescent="0.25">
      <c r="D515" s="138"/>
      <c r="E515" s="138"/>
      <c r="L515" s="138"/>
      <c r="O515" s="138"/>
      <c r="R515" s="138"/>
      <c r="U515" s="138"/>
      <c r="X515" s="138"/>
    </row>
    <row r="516" spans="4:24" ht="12.75" customHeight="1" x14ac:dyDescent="0.25">
      <c r="D516" s="138"/>
      <c r="E516" s="138"/>
      <c r="L516" s="138"/>
      <c r="O516" s="138"/>
      <c r="R516" s="138"/>
      <c r="U516" s="138"/>
      <c r="X516" s="138"/>
    </row>
    <row r="517" spans="4:24" ht="12.75" customHeight="1" x14ac:dyDescent="0.25">
      <c r="D517" s="138"/>
      <c r="E517" s="138"/>
      <c r="L517" s="138"/>
      <c r="O517" s="138"/>
      <c r="R517" s="138"/>
      <c r="U517" s="138"/>
      <c r="X517" s="138"/>
    </row>
    <row r="518" spans="4:24" ht="12.75" customHeight="1" x14ac:dyDescent="0.25">
      <c r="D518" s="138"/>
      <c r="E518" s="138"/>
      <c r="L518" s="138"/>
      <c r="O518" s="138"/>
      <c r="R518" s="138"/>
      <c r="U518" s="138"/>
      <c r="X518" s="138"/>
    </row>
    <row r="519" spans="4:24" ht="12.75" customHeight="1" x14ac:dyDescent="0.25">
      <c r="D519" s="138"/>
      <c r="E519" s="138"/>
      <c r="L519" s="138"/>
      <c r="O519" s="138"/>
      <c r="R519" s="138"/>
      <c r="U519" s="138"/>
      <c r="X519" s="138"/>
    </row>
    <row r="520" spans="4:24" ht="12.75" customHeight="1" x14ac:dyDescent="0.25">
      <c r="D520" s="138"/>
      <c r="E520" s="138"/>
      <c r="L520" s="138"/>
      <c r="O520" s="138"/>
      <c r="R520" s="138"/>
      <c r="U520" s="138"/>
      <c r="X520" s="138"/>
    </row>
    <row r="521" spans="4:24" ht="12.75" customHeight="1" x14ac:dyDescent="0.25">
      <c r="D521" s="138"/>
      <c r="E521" s="138"/>
      <c r="L521" s="138"/>
      <c r="O521" s="138"/>
      <c r="R521" s="138"/>
      <c r="U521" s="138"/>
      <c r="X521" s="138"/>
    </row>
    <row r="522" spans="4:24" ht="12.75" customHeight="1" x14ac:dyDescent="0.25">
      <c r="D522" s="138"/>
      <c r="E522" s="138"/>
      <c r="L522" s="138"/>
      <c r="O522" s="138"/>
      <c r="R522" s="138"/>
      <c r="U522" s="138"/>
      <c r="X522" s="138"/>
    </row>
    <row r="523" spans="4:24" ht="12.75" customHeight="1" x14ac:dyDescent="0.25">
      <c r="D523" s="138"/>
      <c r="E523" s="138"/>
      <c r="L523" s="138"/>
      <c r="O523" s="138"/>
      <c r="R523" s="138"/>
      <c r="U523" s="138"/>
      <c r="X523" s="138"/>
    </row>
    <row r="524" spans="4:24" ht="12.75" customHeight="1" x14ac:dyDescent="0.25">
      <c r="D524" s="138"/>
      <c r="E524" s="138"/>
      <c r="L524" s="138"/>
      <c r="O524" s="138"/>
      <c r="R524" s="138"/>
      <c r="U524" s="138"/>
      <c r="X524" s="138"/>
    </row>
    <row r="525" spans="4:24" ht="12.75" customHeight="1" x14ac:dyDescent="0.25">
      <c r="D525" s="138"/>
      <c r="E525" s="138"/>
      <c r="L525" s="138"/>
      <c r="O525" s="138"/>
      <c r="R525" s="138"/>
      <c r="U525" s="138"/>
      <c r="X525" s="138"/>
    </row>
    <row r="526" spans="4:24" ht="12.75" customHeight="1" x14ac:dyDescent="0.25">
      <c r="D526" s="138"/>
      <c r="E526" s="138"/>
      <c r="L526" s="138"/>
      <c r="O526" s="138"/>
      <c r="R526" s="138"/>
      <c r="U526" s="138"/>
      <c r="X526" s="138"/>
    </row>
    <row r="527" spans="4:24" ht="12.75" customHeight="1" x14ac:dyDescent="0.25">
      <c r="D527" s="138"/>
      <c r="E527" s="138"/>
      <c r="L527" s="138"/>
      <c r="O527" s="138"/>
      <c r="R527" s="138"/>
      <c r="U527" s="138"/>
      <c r="X527" s="138"/>
    </row>
    <row r="528" spans="4:24" ht="12.75" customHeight="1" x14ac:dyDescent="0.25">
      <c r="D528" s="138"/>
      <c r="E528" s="138"/>
      <c r="L528" s="138"/>
      <c r="O528" s="138"/>
      <c r="R528" s="138"/>
      <c r="U528" s="138"/>
      <c r="X528" s="138"/>
    </row>
    <row r="529" spans="4:24" ht="12.75" customHeight="1" x14ac:dyDescent="0.25">
      <c r="D529" s="138"/>
      <c r="E529" s="138"/>
      <c r="L529" s="138"/>
      <c r="O529" s="138"/>
      <c r="R529" s="138"/>
      <c r="U529" s="138"/>
      <c r="X529" s="138"/>
    </row>
    <row r="530" spans="4:24" ht="12.75" customHeight="1" x14ac:dyDescent="0.25">
      <c r="D530" s="138"/>
      <c r="E530" s="138"/>
      <c r="L530" s="138"/>
      <c r="O530" s="138"/>
      <c r="R530" s="138"/>
      <c r="U530" s="138"/>
      <c r="X530" s="138"/>
    </row>
    <row r="531" spans="4:24" ht="12.75" customHeight="1" x14ac:dyDescent="0.25">
      <c r="D531" s="138"/>
      <c r="E531" s="138"/>
      <c r="L531" s="138"/>
      <c r="O531" s="138"/>
      <c r="R531" s="138"/>
      <c r="U531" s="138"/>
      <c r="X531" s="138"/>
    </row>
    <row r="532" spans="4:24" ht="12.75" customHeight="1" x14ac:dyDescent="0.25">
      <c r="D532" s="138"/>
      <c r="E532" s="138"/>
      <c r="L532" s="138"/>
      <c r="O532" s="138"/>
      <c r="R532" s="138"/>
      <c r="U532" s="138"/>
      <c r="X532" s="138"/>
    </row>
    <row r="533" spans="4:24" ht="12.75" customHeight="1" x14ac:dyDescent="0.25">
      <c r="D533" s="138"/>
      <c r="E533" s="138"/>
      <c r="L533" s="138"/>
      <c r="O533" s="138"/>
      <c r="R533" s="138"/>
      <c r="U533" s="138"/>
      <c r="X533" s="138"/>
    </row>
    <row r="534" spans="4:24" ht="12.75" customHeight="1" x14ac:dyDescent="0.25">
      <c r="D534" s="138"/>
      <c r="E534" s="138"/>
      <c r="L534" s="138"/>
      <c r="O534" s="138"/>
      <c r="R534" s="138"/>
      <c r="U534" s="138"/>
      <c r="X534" s="138"/>
    </row>
    <row r="535" spans="4:24" ht="12.75" customHeight="1" x14ac:dyDescent="0.25">
      <c r="D535" s="138"/>
      <c r="E535" s="138"/>
      <c r="L535" s="138"/>
      <c r="O535" s="138"/>
      <c r="R535" s="138"/>
      <c r="U535" s="138"/>
      <c r="X535" s="138"/>
    </row>
    <row r="536" spans="4:24" ht="12.75" customHeight="1" x14ac:dyDescent="0.25">
      <c r="D536" s="138"/>
      <c r="E536" s="138"/>
      <c r="L536" s="138"/>
      <c r="O536" s="138"/>
      <c r="R536" s="138"/>
      <c r="U536" s="138"/>
      <c r="X536" s="138"/>
    </row>
    <row r="537" spans="4:24" ht="12.75" customHeight="1" x14ac:dyDescent="0.25">
      <c r="D537" s="138"/>
      <c r="E537" s="138"/>
      <c r="L537" s="138"/>
      <c r="O537" s="138"/>
      <c r="R537" s="138"/>
      <c r="U537" s="138"/>
      <c r="X537" s="138"/>
    </row>
    <row r="538" spans="4:24" ht="12.75" customHeight="1" x14ac:dyDescent="0.25">
      <c r="D538" s="138"/>
      <c r="E538" s="138"/>
      <c r="L538" s="138"/>
      <c r="O538" s="138"/>
      <c r="R538" s="138"/>
      <c r="U538" s="138"/>
      <c r="X538" s="138"/>
    </row>
    <row r="539" spans="4:24" ht="12.75" customHeight="1" x14ac:dyDescent="0.25">
      <c r="D539" s="138"/>
      <c r="E539" s="138"/>
      <c r="L539" s="138"/>
      <c r="O539" s="138"/>
      <c r="R539" s="138"/>
      <c r="U539" s="138"/>
      <c r="X539" s="138"/>
    </row>
    <row r="540" spans="4:24" ht="12.75" customHeight="1" x14ac:dyDescent="0.25">
      <c r="D540" s="138"/>
      <c r="E540" s="138"/>
      <c r="L540" s="138"/>
      <c r="O540" s="138"/>
      <c r="R540" s="138"/>
      <c r="U540" s="138"/>
      <c r="X540" s="138"/>
    </row>
    <row r="541" spans="4:24" ht="12.75" customHeight="1" x14ac:dyDescent="0.25">
      <c r="D541" s="138"/>
      <c r="E541" s="138"/>
      <c r="L541" s="138"/>
      <c r="O541" s="138"/>
      <c r="R541" s="138"/>
      <c r="U541" s="138"/>
      <c r="X541" s="138"/>
    </row>
    <row r="542" spans="4:24" ht="12.75" customHeight="1" x14ac:dyDescent="0.25">
      <c r="D542" s="138"/>
      <c r="E542" s="138"/>
      <c r="L542" s="138"/>
      <c r="O542" s="138"/>
      <c r="R542" s="138"/>
      <c r="U542" s="138"/>
      <c r="X542" s="138"/>
    </row>
    <row r="543" spans="4:24" ht="12.75" customHeight="1" x14ac:dyDescent="0.25">
      <c r="D543" s="138"/>
      <c r="E543" s="138"/>
      <c r="L543" s="138"/>
      <c r="O543" s="138"/>
      <c r="R543" s="138"/>
      <c r="U543" s="138"/>
      <c r="X543" s="138"/>
    </row>
    <row r="544" spans="4:24" ht="12.75" customHeight="1" x14ac:dyDescent="0.25">
      <c r="D544" s="138"/>
      <c r="E544" s="138"/>
      <c r="L544" s="138"/>
      <c r="O544" s="138"/>
      <c r="R544" s="138"/>
      <c r="U544" s="138"/>
      <c r="X544" s="138"/>
    </row>
    <row r="545" spans="4:24" ht="12.75" customHeight="1" x14ac:dyDescent="0.25">
      <c r="D545" s="138"/>
      <c r="E545" s="138"/>
      <c r="L545" s="138"/>
      <c r="O545" s="138"/>
      <c r="R545" s="138"/>
      <c r="U545" s="138"/>
      <c r="X545" s="138"/>
    </row>
    <row r="546" spans="4:24" ht="12.75" customHeight="1" x14ac:dyDescent="0.25">
      <c r="D546" s="138"/>
      <c r="E546" s="138"/>
      <c r="L546" s="138"/>
      <c r="O546" s="138"/>
      <c r="R546" s="138"/>
      <c r="U546" s="138"/>
      <c r="X546" s="138"/>
    </row>
    <row r="547" spans="4:24" ht="12.75" customHeight="1" x14ac:dyDescent="0.25">
      <c r="D547" s="138"/>
      <c r="E547" s="138"/>
      <c r="L547" s="138"/>
      <c r="O547" s="138"/>
      <c r="R547" s="138"/>
      <c r="U547" s="138"/>
      <c r="X547" s="138"/>
    </row>
    <row r="548" spans="4:24" ht="12.75" customHeight="1" x14ac:dyDescent="0.25">
      <c r="D548" s="138"/>
      <c r="E548" s="138"/>
      <c r="L548" s="138"/>
      <c r="O548" s="138"/>
      <c r="R548" s="138"/>
      <c r="U548" s="138"/>
      <c r="X548" s="138"/>
    </row>
    <row r="549" spans="4:24" ht="12.75" customHeight="1" x14ac:dyDescent="0.25">
      <c r="D549" s="138"/>
      <c r="E549" s="138"/>
      <c r="L549" s="138"/>
      <c r="O549" s="138"/>
      <c r="R549" s="138"/>
      <c r="U549" s="138"/>
      <c r="X549" s="138"/>
    </row>
    <row r="550" spans="4:24" ht="12.75" customHeight="1" x14ac:dyDescent="0.25">
      <c r="D550" s="138"/>
      <c r="E550" s="138"/>
      <c r="L550" s="138"/>
      <c r="O550" s="138"/>
      <c r="R550" s="138"/>
      <c r="U550" s="138"/>
      <c r="X550" s="138"/>
    </row>
    <row r="551" spans="4:24" ht="12.75" customHeight="1" x14ac:dyDescent="0.25">
      <c r="D551" s="138"/>
      <c r="E551" s="138"/>
      <c r="L551" s="138"/>
      <c r="O551" s="138"/>
      <c r="R551" s="138"/>
      <c r="U551" s="138"/>
      <c r="X551" s="138"/>
    </row>
    <row r="552" spans="4:24" ht="12.75" customHeight="1" x14ac:dyDescent="0.25">
      <c r="D552" s="138"/>
      <c r="E552" s="138"/>
      <c r="L552" s="138"/>
      <c r="O552" s="138"/>
      <c r="R552" s="138"/>
      <c r="U552" s="138"/>
      <c r="X552" s="138"/>
    </row>
    <row r="553" spans="4:24" ht="12.75" customHeight="1" x14ac:dyDescent="0.25">
      <c r="D553" s="138"/>
      <c r="E553" s="138"/>
      <c r="L553" s="138"/>
      <c r="O553" s="138"/>
      <c r="R553" s="138"/>
      <c r="U553" s="138"/>
      <c r="X553" s="138"/>
    </row>
    <row r="554" spans="4:24" ht="12.75" customHeight="1" x14ac:dyDescent="0.25">
      <c r="D554" s="138"/>
      <c r="E554" s="138"/>
      <c r="L554" s="138"/>
      <c r="O554" s="138"/>
      <c r="R554" s="138"/>
      <c r="U554" s="138"/>
      <c r="X554" s="138"/>
    </row>
    <row r="555" spans="4:24" ht="12.75" customHeight="1" x14ac:dyDescent="0.25">
      <c r="D555" s="138"/>
      <c r="E555" s="138"/>
      <c r="L555" s="138"/>
      <c r="O555" s="138"/>
      <c r="R555" s="138"/>
      <c r="U555" s="138"/>
      <c r="X555" s="138"/>
    </row>
    <row r="556" spans="4:24" ht="12.75" customHeight="1" x14ac:dyDescent="0.25">
      <c r="D556" s="138"/>
      <c r="E556" s="138"/>
      <c r="L556" s="138"/>
      <c r="O556" s="138"/>
      <c r="R556" s="138"/>
      <c r="U556" s="138"/>
      <c r="X556" s="138"/>
    </row>
    <row r="557" spans="4:24" ht="12.75" customHeight="1" x14ac:dyDescent="0.25">
      <c r="D557" s="138"/>
      <c r="E557" s="138"/>
      <c r="L557" s="138"/>
      <c r="O557" s="138"/>
      <c r="R557" s="138"/>
      <c r="U557" s="138"/>
      <c r="X557" s="138"/>
    </row>
    <row r="558" spans="4:24" ht="12.75" customHeight="1" x14ac:dyDescent="0.25">
      <c r="D558" s="138"/>
      <c r="E558" s="138"/>
      <c r="L558" s="138"/>
      <c r="O558" s="138"/>
      <c r="R558" s="138"/>
      <c r="U558" s="138"/>
      <c r="X558" s="138"/>
    </row>
    <row r="559" spans="4:24" ht="12.75" customHeight="1" x14ac:dyDescent="0.25">
      <c r="D559" s="138"/>
      <c r="E559" s="138"/>
      <c r="L559" s="138"/>
      <c r="O559" s="138"/>
      <c r="R559" s="138"/>
      <c r="U559" s="138"/>
      <c r="X559" s="138"/>
    </row>
    <row r="560" spans="4:24" ht="12.75" customHeight="1" x14ac:dyDescent="0.25">
      <c r="D560" s="138"/>
      <c r="E560" s="138"/>
      <c r="L560" s="138"/>
      <c r="O560" s="138"/>
      <c r="R560" s="138"/>
      <c r="U560" s="138"/>
      <c r="X560" s="138"/>
    </row>
    <row r="561" spans="4:24" ht="12.75" customHeight="1" x14ac:dyDescent="0.25">
      <c r="D561" s="138"/>
      <c r="E561" s="138"/>
      <c r="L561" s="138"/>
      <c r="O561" s="138"/>
      <c r="R561" s="138"/>
      <c r="U561" s="138"/>
      <c r="X561" s="138"/>
    </row>
    <row r="562" spans="4:24" ht="12.75" customHeight="1" x14ac:dyDescent="0.25">
      <c r="D562" s="138"/>
      <c r="E562" s="138"/>
      <c r="L562" s="138"/>
      <c r="O562" s="138"/>
      <c r="R562" s="138"/>
      <c r="U562" s="138"/>
      <c r="X562" s="138"/>
    </row>
    <row r="563" spans="4:24" ht="12.75" customHeight="1" x14ac:dyDescent="0.25">
      <c r="D563" s="138"/>
      <c r="E563" s="138"/>
      <c r="L563" s="138"/>
      <c r="O563" s="138"/>
      <c r="R563" s="138"/>
      <c r="U563" s="138"/>
      <c r="X563" s="138"/>
    </row>
    <row r="564" spans="4:24" ht="12.75" customHeight="1" x14ac:dyDescent="0.25">
      <c r="D564" s="138"/>
      <c r="E564" s="138"/>
      <c r="L564" s="138"/>
      <c r="O564" s="138"/>
      <c r="R564" s="138"/>
      <c r="U564" s="138"/>
      <c r="X564" s="138"/>
    </row>
    <row r="565" spans="4:24" ht="12.75" customHeight="1" x14ac:dyDescent="0.25">
      <c r="D565" s="138"/>
      <c r="E565" s="138"/>
      <c r="L565" s="138"/>
      <c r="O565" s="138"/>
      <c r="R565" s="138"/>
      <c r="U565" s="138"/>
      <c r="X565" s="138"/>
    </row>
    <row r="566" spans="4:24" ht="12.75" customHeight="1" x14ac:dyDescent="0.25">
      <c r="D566" s="138"/>
      <c r="E566" s="138"/>
      <c r="L566" s="138"/>
      <c r="O566" s="138"/>
      <c r="R566" s="138"/>
      <c r="U566" s="138"/>
      <c r="X566" s="138"/>
    </row>
    <row r="567" spans="4:24" ht="12.75" customHeight="1" x14ac:dyDescent="0.25">
      <c r="D567" s="138"/>
      <c r="E567" s="138"/>
      <c r="L567" s="138"/>
      <c r="O567" s="138"/>
      <c r="R567" s="138"/>
      <c r="U567" s="138"/>
      <c r="X567" s="138"/>
    </row>
    <row r="568" spans="4:24" ht="12.75" customHeight="1" x14ac:dyDescent="0.25">
      <c r="D568" s="138"/>
      <c r="E568" s="138"/>
      <c r="L568" s="138"/>
      <c r="O568" s="138"/>
      <c r="R568" s="138"/>
      <c r="U568" s="138"/>
      <c r="X568" s="138"/>
    </row>
    <row r="569" spans="4:24" ht="12.75" customHeight="1" x14ac:dyDescent="0.25">
      <c r="D569" s="138"/>
      <c r="E569" s="138"/>
      <c r="L569" s="138"/>
      <c r="O569" s="138"/>
      <c r="R569" s="138"/>
      <c r="U569" s="138"/>
      <c r="X569" s="138"/>
    </row>
    <row r="570" spans="4:24" ht="12.75" customHeight="1" x14ac:dyDescent="0.25">
      <c r="D570" s="138"/>
      <c r="E570" s="138"/>
      <c r="L570" s="138"/>
      <c r="O570" s="138"/>
      <c r="R570" s="138"/>
      <c r="U570" s="138"/>
      <c r="X570" s="138"/>
    </row>
    <row r="571" spans="4:24" ht="12.75" customHeight="1" x14ac:dyDescent="0.25">
      <c r="D571" s="138"/>
      <c r="E571" s="138"/>
      <c r="L571" s="138"/>
      <c r="O571" s="138"/>
      <c r="R571" s="138"/>
      <c r="U571" s="138"/>
      <c r="X571" s="138"/>
    </row>
    <row r="572" spans="4:24" ht="12.75" customHeight="1" x14ac:dyDescent="0.25">
      <c r="D572" s="138"/>
      <c r="E572" s="138"/>
      <c r="L572" s="138"/>
      <c r="O572" s="138"/>
      <c r="R572" s="138"/>
      <c r="U572" s="138"/>
      <c r="X572" s="138"/>
    </row>
    <row r="573" spans="4:24" ht="12.75" customHeight="1" x14ac:dyDescent="0.25">
      <c r="D573" s="138"/>
      <c r="E573" s="138"/>
      <c r="L573" s="138"/>
      <c r="O573" s="138"/>
      <c r="R573" s="138"/>
      <c r="U573" s="138"/>
      <c r="X573" s="138"/>
    </row>
    <row r="574" spans="4:24" ht="12.75" customHeight="1" x14ac:dyDescent="0.25">
      <c r="D574" s="138"/>
      <c r="E574" s="138"/>
      <c r="L574" s="138"/>
      <c r="O574" s="138"/>
      <c r="R574" s="138"/>
      <c r="U574" s="138"/>
      <c r="X574" s="138"/>
    </row>
    <row r="575" spans="4:24" ht="12.75" customHeight="1" x14ac:dyDescent="0.25">
      <c r="D575" s="138"/>
      <c r="E575" s="138"/>
      <c r="L575" s="138"/>
      <c r="O575" s="138"/>
      <c r="R575" s="138"/>
      <c r="U575" s="138"/>
      <c r="X575" s="138"/>
    </row>
    <row r="576" spans="4:24" ht="12.75" customHeight="1" x14ac:dyDescent="0.25">
      <c r="D576" s="138"/>
      <c r="E576" s="138"/>
      <c r="L576" s="138"/>
      <c r="O576" s="138"/>
      <c r="R576" s="138"/>
      <c r="U576" s="138"/>
      <c r="X576" s="138"/>
    </row>
    <row r="577" spans="4:24" ht="12.75" customHeight="1" x14ac:dyDescent="0.25">
      <c r="D577" s="138"/>
      <c r="E577" s="138"/>
      <c r="L577" s="138"/>
      <c r="O577" s="138"/>
      <c r="R577" s="138"/>
      <c r="U577" s="138"/>
      <c r="X577" s="138"/>
    </row>
    <row r="578" spans="4:24" ht="12.75" customHeight="1" x14ac:dyDescent="0.25">
      <c r="D578" s="138"/>
      <c r="E578" s="138"/>
      <c r="L578" s="138"/>
      <c r="O578" s="138"/>
      <c r="R578" s="138"/>
      <c r="U578" s="138"/>
      <c r="X578" s="138"/>
    </row>
    <row r="579" spans="4:24" ht="12.75" customHeight="1" x14ac:dyDescent="0.25">
      <c r="D579" s="138"/>
      <c r="E579" s="138"/>
      <c r="L579" s="138"/>
      <c r="O579" s="138"/>
      <c r="R579" s="138"/>
      <c r="U579" s="138"/>
      <c r="X579" s="138"/>
    </row>
    <row r="580" spans="4:24" ht="12.75" customHeight="1" x14ac:dyDescent="0.25">
      <c r="D580" s="138"/>
      <c r="E580" s="138"/>
      <c r="L580" s="138"/>
      <c r="O580" s="138"/>
      <c r="R580" s="138"/>
      <c r="U580" s="138"/>
      <c r="X580" s="138"/>
    </row>
    <row r="581" spans="4:24" ht="12.75" customHeight="1" x14ac:dyDescent="0.25">
      <c r="D581" s="138"/>
      <c r="E581" s="138"/>
      <c r="L581" s="138"/>
      <c r="O581" s="138"/>
      <c r="R581" s="138"/>
      <c r="U581" s="138"/>
      <c r="X581" s="138"/>
    </row>
    <row r="582" spans="4:24" ht="12.75" customHeight="1" x14ac:dyDescent="0.25">
      <c r="D582" s="138"/>
      <c r="E582" s="138"/>
      <c r="L582" s="138"/>
      <c r="O582" s="138"/>
      <c r="R582" s="138"/>
      <c r="U582" s="138"/>
      <c r="X582" s="138"/>
    </row>
    <row r="583" spans="4:24" ht="12.75" customHeight="1" x14ac:dyDescent="0.25">
      <c r="D583" s="138"/>
      <c r="E583" s="138"/>
      <c r="L583" s="138"/>
      <c r="O583" s="138"/>
      <c r="R583" s="138"/>
      <c r="U583" s="138"/>
      <c r="X583" s="138"/>
    </row>
    <row r="584" spans="4:24" ht="12.75" customHeight="1" x14ac:dyDescent="0.25">
      <c r="D584" s="138"/>
      <c r="E584" s="138"/>
      <c r="L584" s="138"/>
      <c r="O584" s="138"/>
      <c r="R584" s="138"/>
      <c r="U584" s="138"/>
      <c r="X584" s="138"/>
    </row>
    <row r="585" spans="4:24" ht="12.75" customHeight="1" x14ac:dyDescent="0.25">
      <c r="D585" s="138"/>
      <c r="E585" s="138"/>
      <c r="L585" s="138"/>
      <c r="O585" s="138"/>
      <c r="R585" s="138"/>
      <c r="U585" s="138"/>
      <c r="X585" s="138"/>
    </row>
    <row r="586" spans="4:24" ht="12.75" customHeight="1" x14ac:dyDescent="0.25">
      <c r="D586" s="138"/>
      <c r="E586" s="138"/>
      <c r="L586" s="138"/>
      <c r="O586" s="138"/>
      <c r="R586" s="138"/>
      <c r="U586" s="138"/>
      <c r="X586" s="138"/>
    </row>
    <row r="587" spans="4:24" ht="12.75" customHeight="1" x14ac:dyDescent="0.25">
      <c r="D587" s="138"/>
      <c r="E587" s="138"/>
      <c r="L587" s="138"/>
      <c r="O587" s="138"/>
      <c r="R587" s="138"/>
      <c r="U587" s="138"/>
      <c r="X587" s="138"/>
    </row>
    <row r="588" spans="4:24" ht="12.75" customHeight="1" x14ac:dyDescent="0.25">
      <c r="D588" s="138"/>
      <c r="E588" s="138"/>
      <c r="L588" s="138"/>
      <c r="O588" s="138"/>
      <c r="R588" s="138"/>
      <c r="U588" s="138"/>
      <c r="X588" s="138"/>
    </row>
    <row r="589" spans="4:24" ht="12.75" customHeight="1" x14ac:dyDescent="0.25">
      <c r="D589" s="138"/>
      <c r="E589" s="138"/>
      <c r="L589" s="138"/>
      <c r="O589" s="138"/>
      <c r="R589" s="138"/>
      <c r="U589" s="138"/>
      <c r="X589" s="138"/>
    </row>
    <row r="590" spans="4:24" ht="12.75" customHeight="1" x14ac:dyDescent="0.25">
      <c r="D590" s="138"/>
      <c r="E590" s="138"/>
      <c r="L590" s="138"/>
      <c r="O590" s="138"/>
      <c r="R590" s="138"/>
      <c r="U590" s="138"/>
      <c r="X590" s="138"/>
    </row>
    <row r="591" spans="4:24" ht="12.75" customHeight="1" x14ac:dyDescent="0.25">
      <c r="D591" s="138"/>
      <c r="E591" s="138"/>
      <c r="L591" s="138"/>
      <c r="O591" s="138"/>
      <c r="R591" s="138"/>
      <c r="U591" s="138"/>
      <c r="X591" s="138"/>
    </row>
    <row r="592" spans="4:24" ht="12.75" customHeight="1" x14ac:dyDescent="0.25">
      <c r="D592" s="138"/>
      <c r="E592" s="138"/>
      <c r="L592" s="138"/>
      <c r="O592" s="138"/>
      <c r="R592" s="138"/>
      <c r="U592" s="138"/>
      <c r="X592" s="138"/>
    </row>
    <row r="593" spans="4:24" ht="12.75" customHeight="1" x14ac:dyDescent="0.25">
      <c r="D593" s="138"/>
      <c r="E593" s="138"/>
      <c r="L593" s="138"/>
      <c r="O593" s="138"/>
      <c r="R593" s="138"/>
      <c r="U593" s="138"/>
      <c r="X593" s="138"/>
    </row>
    <row r="594" spans="4:24" ht="12.75" customHeight="1" x14ac:dyDescent="0.25">
      <c r="D594" s="138"/>
      <c r="E594" s="138"/>
      <c r="L594" s="138"/>
      <c r="O594" s="138"/>
      <c r="R594" s="138"/>
      <c r="U594" s="138"/>
      <c r="X594" s="138"/>
    </row>
    <row r="595" spans="4:24" ht="12.75" customHeight="1" x14ac:dyDescent="0.25">
      <c r="D595" s="138"/>
      <c r="E595" s="138"/>
      <c r="L595" s="138"/>
      <c r="O595" s="138"/>
      <c r="R595" s="138"/>
      <c r="U595" s="138"/>
      <c r="X595" s="138"/>
    </row>
    <row r="596" spans="4:24" ht="12.75" customHeight="1" x14ac:dyDescent="0.25">
      <c r="D596" s="138"/>
      <c r="E596" s="138"/>
      <c r="L596" s="138"/>
      <c r="O596" s="138"/>
      <c r="R596" s="138"/>
      <c r="U596" s="138"/>
      <c r="X596" s="138"/>
    </row>
    <row r="597" spans="4:24" ht="12.75" customHeight="1" x14ac:dyDescent="0.25">
      <c r="D597" s="138"/>
      <c r="E597" s="138"/>
      <c r="L597" s="138"/>
      <c r="O597" s="138"/>
      <c r="R597" s="138"/>
      <c r="U597" s="138"/>
      <c r="X597" s="138"/>
    </row>
    <row r="598" spans="4:24" ht="12.75" customHeight="1" x14ac:dyDescent="0.25">
      <c r="D598" s="138"/>
      <c r="E598" s="138"/>
      <c r="L598" s="138"/>
      <c r="O598" s="138"/>
      <c r="R598" s="138"/>
      <c r="U598" s="138"/>
      <c r="X598" s="138"/>
    </row>
    <row r="599" spans="4:24" ht="12.75" customHeight="1" x14ac:dyDescent="0.25">
      <c r="D599" s="138"/>
      <c r="E599" s="138"/>
      <c r="L599" s="138"/>
      <c r="O599" s="138"/>
      <c r="R599" s="138"/>
      <c r="U599" s="138"/>
      <c r="X599" s="138"/>
    </row>
    <row r="600" spans="4:24" ht="12.75" customHeight="1" x14ac:dyDescent="0.25">
      <c r="D600" s="138"/>
      <c r="E600" s="138"/>
      <c r="L600" s="138"/>
      <c r="O600" s="138"/>
      <c r="R600" s="138"/>
      <c r="U600" s="138"/>
      <c r="X600" s="138"/>
    </row>
    <row r="601" spans="4:24" ht="12.75" customHeight="1" x14ac:dyDescent="0.25">
      <c r="D601" s="138"/>
      <c r="E601" s="138"/>
      <c r="L601" s="138"/>
      <c r="O601" s="138"/>
      <c r="R601" s="138"/>
      <c r="U601" s="138"/>
      <c r="X601" s="138"/>
    </row>
    <row r="602" spans="4:24" ht="12.75" customHeight="1" x14ac:dyDescent="0.25">
      <c r="D602" s="138"/>
      <c r="E602" s="138"/>
      <c r="L602" s="138"/>
      <c r="O602" s="138"/>
      <c r="R602" s="138"/>
      <c r="U602" s="138"/>
      <c r="X602" s="138"/>
    </row>
    <row r="603" spans="4:24" ht="12.75" customHeight="1" x14ac:dyDescent="0.25">
      <c r="D603" s="138"/>
      <c r="E603" s="138"/>
      <c r="L603" s="138"/>
      <c r="O603" s="138"/>
      <c r="R603" s="138"/>
      <c r="U603" s="138"/>
      <c r="X603" s="138"/>
    </row>
    <row r="604" spans="4:24" ht="12.75" customHeight="1" x14ac:dyDescent="0.25">
      <c r="D604" s="138"/>
      <c r="E604" s="138"/>
      <c r="L604" s="138"/>
      <c r="O604" s="138"/>
      <c r="R604" s="138"/>
      <c r="U604" s="138"/>
      <c r="X604" s="138"/>
    </row>
    <row r="605" spans="4:24" ht="12.75" customHeight="1" x14ac:dyDescent="0.25">
      <c r="D605" s="138"/>
      <c r="E605" s="138"/>
      <c r="L605" s="138"/>
      <c r="O605" s="138"/>
      <c r="R605" s="138"/>
      <c r="U605" s="138"/>
      <c r="X605" s="138"/>
    </row>
    <row r="606" spans="4:24" ht="12.75" customHeight="1" x14ac:dyDescent="0.25">
      <c r="D606" s="138"/>
      <c r="E606" s="138"/>
      <c r="L606" s="138"/>
      <c r="O606" s="138"/>
      <c r="R606" s="138"/>
      <c r="U606" s="138"/>
      <c r="X606" s="138"/>
    </row>
    <row r="607" spans="4:24" ht="12.75" customHeight="1" x14ac:dyDescent="0.25">
      <c r="D607" s="138"/>
      <c r="E607" s="138"/>
      <c r="L607" s="138"/>
      <c r="O607" s="138"/>
      <c r="R607" s="138"/>
      <c r="U607" s="138"/>
      <c r="X607" s="138"/>
    </row>
    <row r="608" spans="4:24" ht="12.75" customHeight="1" x14ac:dyDescent="0.25">
      <c r="D608" s="138"/>
      <c r="E608" s="138"/>
      <c r="L608" s="138"/>
      <c r="O608" s="138"/>
      <c r="R608" s="138"/>
      <c r="U608" s="138"/>
      <c r="X608" s="138"/>
    </row>
    <row r="609" spans="4:24" ht="12.75" customHeight="1" x14ac:dyDescent="0.25">
      <c r="D609" s="138"/>
      <c r="E609" s="138"/>
      <c r="L609" s="138"/>
      <c r="O609" s="138"/>
      <c r="R609" s="138"/>
      <c r="U609" s="138"/>
      <c r="X609" s="138"/>
    </row>
    <row r="610" spans="4:24" ht="12.75" customHeight="1" x14ac:dyDescent="0.25">
      <c r="D610" s="138"/>
      <c r="E610" s="138"/>
      <c r="L610" s="138"/>
      <c r="O610" s="138"/>
      <c r="R610" s="138"/>
      <c r="U610" s="138"/>
      <c r="X610" s="138"/>
    </row>
    <row r="611" spans="4:24" ht="12.75" customHeight="1" x14ac:dyDescent="0.25">
      <c r="D611" s="138"/>
      <c r="E611" s="138"/>
      <c r="L611" s="138"/>
      <c r="O611" s="138"/>
      <c r="R611" s="138"/>
      <c r="U611" s="138"/>
      <c r="X611" s="138"/>
    </row>
    <row r="612" spans="4:24" ht="12.75" customHeight="1" x14ac:dyDescent="0.25">
      <c r="D612" s="138"/>
      <c r="E612" s="138"/>
      <c r="L612" s="138"/>
      <c r="O612" s="138"/>
      <c r="R612" s="138"/>
      <c r="U612" s="138"/>
      <c r="X612" s="138"/>
    </row>
    <row r="613" spans="4:24" ht="12.75" customHeight="1" x14ac:dyDescent="0.25">
      <c r="D613" s="138"/>
      <c r="E613" s="138"/>
      <c r="L613" s="138"/>
      <c r="O613" s="138"/>
      <c r="R613" s="138"/>
      <c r="U613" s="138"/>
      <c r="X613" s="138"/>
    </row>
    <row r="614" spans="4:24" ht="12.75" customHeight="1" x14ac:dyDescent="0.25">
      <c r="D614" s="138"/>
      <c r="E614" s="138"/>
      <c r="L614" s="138"/>
      <c r="O614" s="138"/>
      <c r="R614" s="138"/>
      <c r="U614" s="138"/>
      <c r="X614" s="138"/>
    </row>
    <row r="615" spans="4:24" ht="12.75" customHeight="1" x14ac:dyDescent="0.25">
      <c r="D615" s="138"/>
      <c r="E615" s="138"/>
      <c r="L615" s="138"/>
      <c r="O615" s="138"/>
      <c r="R615" s="138"/>
      <c r="U615" s="138"/>
      <c r="X615" s="138"/>
    </row>
    <row r="616" spans="4:24" ht="12.75" customHeight="1" x14ac:dyDescent="0.25">
      <c r="D616" s="138"/>
      <c r="E616" s="138"/>
      <c r="L616" s="138"/>
      <c r="O616" s="138"/>
      <c r="R616" s="138"/>
      <c r="U616" s="138"/>
      <c r="X616" s="138"/>
    </row>
    <row r="617" spans="4:24" ht="12.75" customHeight="1" x14ac:dyDescent="0.25">
      <c r="D617" s="138"/>
      <c r="E617" s="138"/>
      <c r="L617" s="138"/>
      <c r="O617" s="138"/>
      <c r="R617" s="138"/>
      <c r="U617" s="138"/>
      <c r="X617" s="138"/>
    </row>
    <row r="618" spans="4:24" ht="12.75" customHeight="1" x14ac:dyDescent="0.25">
      <c r="D618" s="138"/>
      <c r="E618" s="138"/>
      <c r="L618" s="138"/>
      <c r="O618" s="138"/>
      <c r="R618" s="138"/>
      <c r="U618" s="138"/>
      <c r="X618" s="138"/>
    </row>
    <row r="619" spans="4:24" ht="12.75" customHeight="1" x14ac:dyDescent="0.25">
      <c r="D619" s="138"/>
      <c r="E619" s="138"/>
      <c r="L619" s="138"/>
      <c r="O619" s="138"/>
      <c r="R619" s="138"/>
      <c r="U619" s="138"/>
      <c r="X619" s="138"/>
    </row>
    <row r="620" spans="4:24" ht="12.75" customHeight="1" x14ac:dyDescent="0.25">
      <c r="D620" s="138"/>
      <c r="E620" s="138"/>
      <c r="L620" s="138"/>
      <c r="O620" s="138"/>
      <c r="R620" s="138"/>
      <c r="U620" s="138"/>
      <c r="X620" s="138"/>
    </row>
    <row r="621" spans="4:24" ht="12.75" customHeight="1" x14ac:dyDescent="0.25">
      <c r="D621" s="138"/>
      <c r="E621" s="138"/>
      <c r="L621" s="138"/>
      <c r="O621" s="138"/>
      <c r="R621" s="138"/>
      <c r="U621" s="138"/>
      <c r="X621" s="138"/>
    </row>
    <row r="622" spans="4:24" ht="12.75" customHeight="1" x14ac:dyDescent="0.25">
      <c r="D622" s="138"/>
      <c r="E622" s="138"/>
      <c r="L622" s="138"/>
      <c r="O622" s="138"/>
      <c r="R622" s="138"/>
      <c r="U622" s="138"/>
      <c r="X622" s="138"/>
    </row>
    <row r="623" spans="4:24" ht="12.75" customHeight="1" x14ac:dyDescent="0.25">
      <c r="D623" s="138"/>
      <c r="E623" s="138"/>
      <c r="L623" s="138"/>
      <c r="O623" s="138"/>
      <c r="R623" s="138"/>
      <c r="U623" s="138"/>
      <c r="X623" s="138"/>
    </row>
    <row r="624" spans="4:24" ht="12.75" customHeight="1" x14ac:dyDescent="0.25">
      <c r="D624" s="138"/>
      <c r="E624" s="138"/>
      <c r="L624" s="138"/>
      <c r="O624" s="138"/>
      <c r="R624" s="138"/>
      <c r="U624" s="138"/>
      <c r="X624" s="138"/>
    </row>
    <row r="625" spans="4:24" ht="12.75" customHeight="1" x14ac:dyDescent="0.25">
      <c r="D625" s="138"/>
      <c r="E625" s="138"/>
      <c r="L625" s="138"/>
      <c r="O625" s="138"/>
      <c r="R625" s="138"/>
      <c r="U625" s="138"/>
      <c r="X625" s="138"/>
    </row>
    <row r="626" spans="4:24" ht="12.75" customHeight="1" x14ac:dyDescent="0.25">
      <c r="D626" s="138"/>
      <c r="E626" s="138"/>
      <c r="L626" s="138"/>
      <c r="O626" s="138"/>
      <c r="R626" s="138"/>
      <c r="U626" s="138"/>
      <c r="X626" s="138"/>
    </row>
    <row r="627" spans="4:24" ht="12.75" customHeight="1" x14ac:dyDescent="0.25">
      <c r="D627" s="138"/>
      <c r="E627" s="138"/>
      <c r="L627" s="138"/>
      <c r="O627" s="138"/>
      <c r="R627" s="138"/>
      <c r="U627" s="138"/>
      <c r="X627" s="138"/>
    </row>
    <row r="628" spans="4:24" ht="12.75" customHeight="1" x14ac:dyDescent="0.25">
      <c r="D628" s="138"/>
      <c r="E628" s="138"/>
      <c r="L628" s="138"/>
      <c r="O628" s="138"/>
      <c r="R628" s="138"/>
      <c r="U628" s="138"/>
      <c r="X628" s="138"/>
    </row>
    <row r="629" spans="4:24" ht="12.75" customHeight="1" x14ac:dyDescent="0.25">
      <c r="D629" s="138"/>
      <c r="E629" s="138"/>
      <c r="L629" s="138"/>
      <c r="O629" s="138"/>
      <c r="R629" s="138"/>
      <c r="U629" s="138"/>
      <c r="X629" s="138"/>
    </row>
    <row r="630" spans="4:24" ht="12.75" customHeight="1" x14ac:dyDescent="0.25">
      <c r="D630" s="138"/>
      <c r="E630" s="138"/>
      <c r="L630" s="138"/>
      <c r="O630" s="138"/>
      <c r="R630" s="138"/>
      <c r="U630" s="138"/>
      <c r="X630" s="138"/>
    </row>
    <row r="631" spans="4:24" ht="12.75" customHeight="1" x14ac:dyDescent="0.25">
      <c r="D631" s="138"/>
      <c r="E631" s="138"/>
      <c r="L631" s="138"/>
      <c r="O631" s="138"/>
      <c r="R631" s="138"/>
      <c r="U631" s="138"/>
      <c r="X631" s="138"/>
    </row>
    <row r="632" spans="4:24" ht="12.75" customHeight="1" x14ac:dyDescent="0.25">
      <c r="D632" s="138"/>
      <c r="E632" s="138"/>
      <c r="L632" s="138"/>
      <c r="O632" s="138"/>
      <c r="R632" s="138"/>
      <c r="U632" s="138"/>
      <c r="X632" s="138"/>
    </row>
    <row r="633" spans="4:24" ht="12.75" customHeight="1" x14ac:dyDescent="0.25">
      <c r="D633" s="138"/>
      <c r="E633" s="138"/>
      <c r="L633" s="138"/>
      <c r="O633" s="138"/>
      <c r="R633" s="138"/>
      <c r="U633" s="138"/>
      <c r="X633" s="138"/>
    </row>
    <row r="634" spans="4:24" ht="12.75" customHeight="1" x14ac:dyDescent="0.25">
      <c r="D634" s="138"/>
      <c r="E634" s="138"/>
      <c r="L634" s="138"/>
      <c r="O634" s="138"/>
      <c r="R634" s="138"/>
      <c r="U634" s="138"/>
      <c r="X634" s="138"/>
    </row>
    <row r="635" spans="4:24" ht="12.75" customHeight="1" x14ac:dyDescent="0.25">
      <c r="D635" s="138"/>
      <c r="E635" s="138"/>
      <c r="L635" s="138"/>
      <c r="O635" s="138"/>
      <c r="R635" s="138"/>
      <c r="U635" s="138"/>
      <c r="X635" s="138"/>
    </row>
    <row r="636" spans="4:24" ht="12.75" customHeight="1" x14ac:dyDescent="0.25">
      <c r="D636" s="138"/>
      <c r="E636" s="138"/>
      <c r="L636" s="138"/>
      <c r="O636" s="138"/>
      <c r="R636" s="138"/>
      <c r="U636" s="138"/>
      <c r="X636" s="138"/>
    </row>
    <row r="637" spans="4:24" ht="12.75" customHeight="1" x14ac:dyDescent="0.25">
      <c r="D637" s="138"/>
      <c r="E637" s="138"/>
      <c r="L637" s="138"/>
      <c r="O637" s="138"/>
      <c r="R637" s="138"/>
      <c r="U637" s="138"/>
      <c r="X637" s="138"/>
    </row>
    <row r="638" spans="4:24" ht="12.75" customHeight="1" x14ac:dyDescent="0.25">
      <c r="D638" s="138"/>
      <c r="E638" s="138"/>
      <c r="L638" s="138"/>
      <c r="O638" s="138"/>
      <c r="R638" s="138"/>
      <c r="U638" s="138"/>
      <c r="X638" s="138"/>
    </row>
    <row r="639" spans="4:24" ht="12.75" customHeight="1" x14ac:dyDescent="0.25">
      <c r="D639" s="138"/>
      <c r="E639" s="138"/>
      <c r="L639" s="138"/>
      <c r="O639" s="138"/>
      <c r="R639" s="138"/>
      <c r="U639" s="138"/>
      <c r="X639" s="138"/>
    </row>
    <row r="640" spans="4:24" ht="12.75" customHeight="1" x14ac:dyDescent="0.25">
      <c r="D640" s="138"/>
      <c r="E640" s="138"/>
      <c r="L640" s="138"/>
      <c r="O640" s="138"/>
      <c r="R640" s="138"/>
      <c r="U640" s="138"/>
      <c r="X640" s="138"/>
    </row>
    <row r="641" spans="4:24" ht="12.75" customHeight="1" x14ac:dyDescent="0.25">
      <c r="D641" s="138"/>
      <c r="E641" s="138"/>
      <c r="L641" s="138"/>
      <c r="O641" s="138"/>
      <c r="R641" s="138"/>
      <c r="U641" s="138"/>
      <c r="X641" s="138"/>
    </row>
    <row r="642" spans="4:24" ht="12.75" customHeight="1" x14ac:dyDescent="0.25">
      <c r="D642" s="138"/>
      <c r="E642" s="138"/>
      <c r="L642" s="138"/>
      <c r="O642" s="138"/>
      <c r="R642" s="138"/>
      <c r="U642" s="138"/>
      <c r="X642" s="138"/>
    </row>
    <row r="643" spans="4:24" ht="12.75" customHeight="1" x14ac:dyDescent="0.25">
      <c r="D643" s="138"/>
      <c r="E643" s="138"/>
      <c r="L643" s="138"/>
      <c r="O643" s="138"/>
      <c r="R643" s="138"/>
      <c r="U643" s="138"/>
      <c r="X643" s="138"/>
    </row>
    <row r="644" spans="4:24" ht="12.75" customHeight="1" x14ac:dyDescent="0.25">
      <c r="D644" s="138"/>
      <c r="E644" s="138"/>
      <c r="L644" s="138"/>
      <c r="O644" s="138"/>
      <c r="R644" s="138"/>
      <c r="U644" s="138"/>
      <c r="X644" s="138"/>
    </row>
    <row r="645" spans="4:24" ht="12.75" customHeight="1" x14ac:dyDescent="0.25">
      <c r="D645" s="138"/>
      <c r="E645" s="138"/>
      <c r="L645" s="138"/>
      <c r="O645" s="138"/>
      <c r="R645" s="138"/>
      <c r="U645" s="138"/>
      <c r="X645" s="138"/>
    </row>
    <row r="646" spans="4:24" ht="12.75" customHeight="1" x14ac:dyDescent="0.25">
      <c r="D646" s="138"/>
      <c r="E646" s="138"/>
      <c r="L646" s="138"/>
      <c r="O646" s="138"/>
      <c r="R646" s="138"/>
      <c r="U646" s="138"/>
      <c r="X646" s="138"/>
    </row>
    <row r="647" spans="4:24" ht="12.75" customHeight="1" x14ac:dyDescent="0.25">
      <c r="D647" s="138"/>
      <c r="E647" s="138"/>
      <c r="L647" s="138"/>
      <c r="O647" s="138"/>
      <c r="R647" s="138"/>
      <c r="U647" s="138"/>
      <c r="X647" s="138"/>
    </row>
    <row r="648" spans="4:24" ht="12.75" customHeight="1" x14ac:dyDescent="0.25">
      <c r="D648" s="138"/>
      <c r="E648" s="138"/>
      <c r="L648" s="138"/>
      <c r="O648" s="138"/>
      <c r="R648" s="138"/>
      <c r="U648" s="138"/>
      <c r="X648" s="138"/>
    </row>
    <row r="649" spans="4:24" ht="12.75" customHeight="1" x14ac:dyDescent="0.25">
      <c r="D649" s="138"/>
      <c r="E649" s="138"/>
      <c r="L649" s="138"/>
      <c r="O649" s="138"/>
      <c r="R649" s="138"/>
      <c r="U649" s="138"/>
      <c r="X649" s="138"/>
    </row>
    <row r="650" spans="4:24" ht="12.75" customHeight="1" x14ac:dyDescent="0.25">
      <c r="D650" s="138"/>
      <c r="E650" s="138"/>
      <c r="L650" s="138"/>
      <c r="O650" s="138"/>
      <c r="R650" s="138"/>
      <c r="U650" s="138"/>
      <c r="X650" s="138"/>
    </row>
    <row r="651" spans="4:24" ht="12.75" customHeight="1" x14ac:dyDescent="0.25">
      <c r="D651" s="138"/>
      <c r="E651" s="138"/>
      <c r="L651" s="138"/>
      <c r="O651" s="138"/>
      <c r="R651" s="138"/>
      <c r="U651" s="138"/>
      <c r="X651" s="138"/>
    </row>
    <row r="652" spans="4:24" ht="12.75" customHeight="1" x14ac:dyDescent="0.25">
      <c r="D652" s="138"/>
      <c r="E652" s="138"/>
      <c r="L652" s="138"/>
      <c r="O652" s="138"/>
      <c r="R652" s="138"/>
      <c r="U652" s="138"/>
      <c r="X652" s="138"/>
    </row>
    <row r="653" spans="4:24" ht="12.75" customHeight="1" x14ac:dyDescent="0.25">
      <c r="D653" s="138"/>
      <c r="E653" s="138"/>
      <c r="L653" s="138"/>
      <c r="O653" s="138"/>
      <c r="R653" s="138"/>
      <c r="U653" s="138"/>
      <c r="X653" s="138"/>
    </row>
    <row r="654" spans="4:24" ht="12.75" customHeight="1" x14ac:dyDescent="0.25">
      <c r="D654" s="138"/>
      <c r="E654" s="138"/>
      <c r="L654" s="138"/>
      <c r="O654" s="138"/>
      <c r="R654" s="138"/>
      <c r="U654" s="138"/>
      <c r="X654" s="138"/>
    </row>
    <row r="655" spans="4:24" ht="12.75" customHeight="1" x14ac:dyDescent="0.25">
      <c r="D655" s="138"/>
      <c r="E655" s="138"/>
      <c r="L655" s="138"/>
      <c r="O655" s="138"/>
      <c r="R655" s="138"/>
      <c r="U655" s="138"/>
      <c r="X655" s="138"/>
    </row>
    <row r="656" spans="4:24" ht="12.75" customHeight="1" x14ac:dyDescent="0.25">
      <c r="D656" s="138"/>
      <c r="E656" s="138"/>
      <c r="L656" s="138"/>
      <c r="O656" s="138"/>
      <c r="R656" s="138"/>
      <c r="U656" s="138"/>
      <c r="X656" s="138"/>
    </row>
    <row r="657" spans="4:24" ht="12.75" customHeight="1" x14ac:dyDescent="0.25">
      <c r="D657" s="138"/>
      <c r="E657" s="138"/>
      <c r="L657" s="138"/>
      <c r="O657" s="138"/>
      <c r="R657" s="138"/>
      <c r="U657" s="138"/>
      <c r="X657" s="138"/>
    </row>
    <row r="658" spans="4:24" ht="12.75" customHeight="1" x14ac:dyDescent="0.25">
      <c r="D658" s="138"/>
      <c r="E658" s="138"/>
      <c r="L658" s="138"/>
      <c r="O658" s="138"/>
      <c r="R658" s="138"/>
      <c r="U658" s="138"/>
      <c r="X658" s="138"/>
    </row>
    <row r="659" spans="4:24" ht="12.75" customHeight="1" x14ac:dyDescent="0.25">
      <c r="D659" s="138"/>
      <c r="E659" s="138"/>
      <c r="L659" s="138"/>
      <c r="O659" s="138"/>
      <c r="R659" s="138"/>
      <c r="U659" s="138"/>
      <c r="X659" s="138"/>
    </row>
    <row r="660" spans="4:24" ht="12.75" customHeight="1" x14ac:dyDescent="0.25">
      <c r="D660" s="138"/>
      <c r="E660" s="138"/>
      <c r="L660" s="138"/>
      <c r="O660" s="138"/>
      <c r="R660" s="138"/>
      <c r="U660" s="138"/>
      <c r="X660" s="138"/>
    </row>
    <row r="661" spans="4:24" ht="12.75" customHeight="1" x14ac:dyDescent="0.25">
      <c r="D661" s="138"/>
      <c r="E661" s="138"/>
      <c r="L661" s="138"/>
      <c r="O661" s="138"/>
      <c r="R661" s="138"/>
      <c r="U661" s="138"/>
      <c r="X661" s="138"/>
    </row>
    <row r="662" spans="4:24" ht="12.75" customHeight="1" x14ac:dyDescent="0.25">
      <c r="D662" s="138"/>
      <c r="E662" s="138"/>
      <c r="L662" s="138"/>
      <c r="O662" s="138"/>
      <c r="R662" s="138"/>
      <c r="U662" s="138"/>
      <c r="X662" s="138"/>
    </row>
    <row r="663" spans="4:24" ht="12.75" customHeight="1" x14ac:dyDescent="0.25">
      <c r="D663" s="138"/>
      <c r="E663" s="138"/>
      <c r="L663" s="138"/>
      <c r="O663" s="138"/>
      <c r="R663" s="138"/>
      <c r="U663" s="138"/>
      <c r="X663" s="138"/>
    </row>
    <row r="664" spans="4:24" ht="12.75" customHeight="1" x14ac:dyDescent="0.25">
      <c r="D664" s="138"/>
      <c r="E664" s="138"/>
      <c r="L664" s="138"/>
      <c r="O664" s="138"/>
      <c r="R664" s="138"/>
      <c r="U664" s="138"/>
      <c r="X664" s="138"/>
    </row>
    <row r="665" spans="4:24" ht="12.75" customHeight="1" x14ac:dyDescent="0.25">
      <c r="D665" s="138"/>
      <c r="E665" s="138"/>
      <c r="L665" s="138"/>
      <c r="O665" s="138"/>
      <c r="R665" s="138"/>
      <c r="U665" s="138"/>
      <c r="X665" s="138"/>
    </row>
    <row r="666" spans="4:24" ht="12.75" customHeight="1" x14ac:dyDescent="0.25">
      <c r="D666" s="138"/>
      <c r="E666" s="138"/>
      <c r="L666" s="138"/>
      <c r="O666" s="138"/>
      <c r="R666" s="138"/>
      <c r="U666" s="138"/>
      <c r="X666" s="138"/>
    </row>
    <row r="667" spans="4:24" ht="12.75" customHeight="1" x14ac:dyDescent="0.25">
      <c r="D667" s="138"/>
      <c r="E667" s="138"/>
      <c r="L667" s="138"/>
      <c r="O667" s="138"/>
      <c r="R667" s="138"/>
      <c r="U667" s="138"/>
      <c r="X667" s="138"/>
    </row>
    <row r="668" spans="4:24" ht="12.75" customHeight="1" x14ac:dyDescent="0.25">
      <c r="D668" s="138"/>
      <c r="E668" s="138"/>
      <c r="L668" s="138"/>
      <c r="O668" s="138"/>
      <c r="R668" s="138"/>
      <c r="U668" s="138"/>
      <c r="X668" s="138"/>
    </row>
    <row r="669" spans="4:24" ht="12.75" customHeight="1" x14ac:dyDescent="0.25">
      <c r="D669" s="138"/>
      <c r="E669" s="138"/>
      <c r="L669" s="138"/>
      <c r="O669" s="138"/>
      <c r="R669" s="138"/>
      <c r="U669" s="138"/>
      <c r="X669" s="138"/>
    </row>
    <row r="670" spans="4:24" ht="12.75" customHeight="1" x14ac:dyDescent="0.25">
      <c r="D670" s="138"/>
      <c r="E670" s="138"/>
      <c r="L670" s="138"/>
      <c r="O670" s="138"/>
      <c r="R670" s="138"/>
      <c r="U670" s="138"/>
      <c r="X670" s="138"/>
    </row>
    <row r="671" spans="4:24" ht="12.75" customHeight="1" x14ac:dyDescent="0.25">
      <c r="D671" s="138"/>
      <c r="E671" s="138"/>
      <c r="L671" s="138"/>
      <c r="O671" s="138"/>
      <c r="R671" s="138"/>
      <c r="U671" s="138"/>
      <c r="X671" s="138"/>
    </row>
    <row r="672" spans="4:24" ht="12.75" customHeight="1" x14ac:dyDescent="0.25">
      <c r="D672" s="138"/>
      <c r="E672" s="138"/>
      <c r="L672" s="138"/>
      <c r="O672" s="138"/>
      <c r="R672" s="138"/>
      <c r="U672" s="138"/>
      <c r="X672" s="138"/>
    </row>
    <row r="673" spans="4:24" ht="12.75" customHeight="1" x14ac:dyDescent="0.25">
      <c r="D673" s="138"/>
      <c r="E673" s="138"/>
      <c r="L673" s="138"/>
      <c r="O673" s="138"/>
      <c r="R673" s="138"/>
      <c r="U673" s="138"/>
      <c r="X673" s="138"/>
    </row>
    <row r="674" spans="4:24" ht="12.75" customHeight="1" x14ac:dyDescent="0.25">
      <c r="D674" s="138"/>
      <c r="E674" s="138"/>
      <c r="L674" s="138"/>
      <c r="O674" s="138"/>
      <c r="R674" s="138"/>
      <c r="U674" s="138"/>
      <c r="X674" s="138"/>
    </row>
    <row r="675" spans="4:24" ht="12.75" customHeight="1" x14ac:dyDescent="0.25">
      <c r="D675" s="138"/>
      <c r="E675" s="138"/>
      <c r="L675" s="138"/>
      <c r="O675" s="138"/>
      <c r="R675" s="138"/>
      <c r="U675" s="138"/>
      <c r="X675" s="138"/>
    </row>
    <row r="676" spans="4:24" ht="12.75" customHeight="1" x14ac:dyDescent="0.25">
      <c r="D676" s="138"/>
      <c r="E676" s="138"/>
      <c r="L676" s="138"/>
      <c r="O676" s="138"/>
      <c r="R676" s="138"/>
      <c r="U676" s="138"/>
      <c r="X676" s="138"/>
    </row>
    <row r="677" spans="4:24" ht="12.75" customHeight="1" x14ac:dyDescent="0.25">
      <c r="D677" s="138"/>
      <c r="E677" s="138"/>
      <c r="L677" s="138"/>
      <c r="O677" s="138"/>
      <c r="R677" s="138"/>
      <c r="U677" s="138"/>
      <c r="X677" s="138"/>
    </row>
    <row r="678" spans="4:24" ht="12.75" customHeight="1" x14ac:dyDescent="0.25">
      <c r="D678" s="138"/>
      <c r="E678" s="138"/>
      <c r="L678" s="138"/>
      <c r="O678" s="138"/>
      <c r="R678" s="138"/>
      <c r="U678" s="138"/>
      <c r="X678" s="138"/>
    </row>
    <row r="679" spans="4:24" ht="12.75" customHeight="1" x14ac:dyDescent="0.25">
      <c r="D679" s="138"/>
      <c r="E679" s="138"/>
      <c r="L679" s="138"/>
      <c r="O679" s="138"/>
      <c r="R679" s="138"/>
      <c r="U679" s="138"/>
      <c r="X679" s="138"/>
    </row>
    <row r="680" spans="4:24" ht="12.75" customHeight="1" x14ac:dyDescent="0.25">
      <c r="D680" s="138"/>
      <c r="E680" s="138"/>
      <c r="L680" s="138"/>
      <c r="O680" s="138"/>
      <c r="R680" s="138"/>
      <c r="U680" s="138"/>
      <c r="X680" s="138"/>
    </row>
    <row r="681" spans="4:24" ht="12.75" customHeight="1" x14ac:dyDescent="0.25">
      <c r="D681" s="138"/>
      <c r="E681" s="138"/>
      <c r="L681" s="138"/>
      <c r="O681" s="138"/>
      <c r="R681" s="138"/>
      <c r="U681" s="138"/>
      <c r="X681" s="138"/>
    </row>
    <row r="682" spans="4:24" ht="12.75" customHeight="1" x14ac:dyDescent="0.25">
      <c r="D682" s="138"/>
      <c r="E682" s="138"/>
      <c r="L682" s="138"/>
      <c r="O682" s="138"/>
      <c r="R682" s="138"/>
      <c r="U682" s="138"/>
      <c r="X682" s="138"/>
    </row>
    <row r="683" spans="4:24" ht="12.75" customHeight="1" x14ac:dyDescent="0.25">
      <c r="D683" s="138"/>
      <c r="E683" s="138"/>
      <c r="L683" s="138"/>
      <c r="O683" s="138"/>
      <c r="R683" s="138"/>
      <c r="U683" s="138"/>
      <c r="X683" s="138"/>
    </row>
    <row r="684" spans="4:24" ht="12.75" customHeight="1" x14ac:dyDescent="0.25">
      <c r="D684" s="138"/>
      <c r="E684" s="138"/>
      <c r="L684" s="138"/>
      <c r="O684" s="138"/>
      <c r="R684" s="138"/>
      <c r="U684" s="138"/>
      <c r="X684" s="138"/>
    </row>
    <row r="685" spans="4:24" ht="12.75" customHeight="1" x14ac:dyDescent="0.25">
      <c r="D685" s="138"/>
      <c r="E685" s="138"/>
      <c r="L685" s="138"/>
      <c r="O685" s="138"/>
      <c r="R685" s="138"/>
      <c r="U685" s="138"/>
      <c r="X685" s="138"/>
    </row>
    <row r="686" spans="4:24" ht="12.75" customHeight="1" x14ac:dyDescent="0.25">
      <c r="D686" s="138"/>
      <c r="E686" s="138"/>
      <c r="L686" s="138"/>
      <c r="O686" s="138"/>
      <c r="R686" s="138"/>
      <c r="U686" s="138"/>
      <c r="X686" s="138"/>
    </row>
    <row r="687" spans="4:24" ht="12.75" customHeight="1" x14ac:dyDescent="0.25">
      <c r="D687" s="138"/>
      <c r="E687" s="138"/>
      <c r="L687" s="138"/>
      <c r="O687" s="138"/>
      <c r="R687" s="138"/>
      <c r="U687" s="138"/>
      <c r="X687" s="138"/>
    </row>
    <row r="688" spans="4:24" ht="12.75" customHeight="1" x14ac:dyDescent="0.25">
      <c r="D688" s="138"/>
      <c r="E688" s="138"/>
      <c r="L688" s="138"/>
      <c r="O688" s="138"/>
      <c r="R688" s="138"/>
      <c r="U688" s="138"/>
      <c r="X688" s="138"/>
    </row>
    <row r="689" spans="4:24" ht="12.75" customHeight="1" x14ac:dyDescent="0.25">
      <c r="D689" s="138"/>
      <c r="E689" s="138"/>
      <c r="L689" s="138"/>
      <c r="O689" s="138"/>
      <c r="R689" s="138"/>
      <c r="U689" s="138"/>
      <c r="X689" s="138"/>
    </row>
    <row r="690" spans="4:24" ht="12.75" customHeight="1" x14ac:dyDescent="0.25">
      <c r="D690" s="138"/>
      <c r="E690" s="138"/>
      <c r="L690" s="138"/>
      <c r="O690" s="138"/>
      <c r="R690" s="138"/>
      <c r="U690" s="138"/>
      <c r="X690" s="138"/>
    </row>
    <row r="691" spans="4:24" ht="12.75" customHeight="1" x14ac:dyDescent="0.25">
      <c r="D691" s="138"/>
      <c r="E691" s="138"/>
      <c r="L691" s="138"/>
      <c r="O691" s="138"/>
      <c r="R691" s="138"/>
      <c r="U691" s="138"/>
      <c r="X691" s="138"/>
    </row>
    <row r="692" spans="4:24" ht="12.75" customHeight="1" x14ac:dyDescent="0.25">
      <c r="D692" s="138"/>
      <c r="E692" s="138"/>
      <c r="L692" s="138"/>
      <c r="O692" s="138"/>
      <c r="R692" s="138"/>
      <c r="U692" s="138"/>
      <c r="X692" s="138"/>
    </row>
    <row r="693" spans="4:24" ht="12.75" customHeight="1" x14ac:dyDescent="0.25">
      <c r="D693" s="138"/>
      <c r="E693" s="138"/>
      <c r="L693" s="138"/>
      <c r="O693" s="138"/>
      <c r="R693" s="138"/>
      <c r="U693" s="138"/>
      <c r="X693" s="138"/>
    </row>
    <row r="694" spans="4:24" ht="12.75" customHeight="1" x14ac:dyDescent="0.25">
      <c r="D694" s="138"/>
      <c r="E694" s="138"/>
      <c r="L694" s="138"/>
      <c r="O694" s="138"/>
      <c r="R694" s="138"/>
      <c r="U694" s="138"/>
      <c r="X694" s="138"/>
    </row>
    <row r="695" spans="4:24" ht="12.75" customHeight="1" x14ac:dyDescent="0.25">
      <c r="D695" s="138"/>
      <c r="E695" s="138"/>
      <c r="L695" s="138"/>
      <c r="O695" s="138"/>
      <c r="R695" s="138"/>
      <c r="U695" s="138"/>
      <c r="X695" s="138"/>
    </row>
    <row r="696" spans="4:24" ht="12.75" customHeight="1" x14ac:dyDescent="0.25">
      <c r="D696" s="138"/>
      <c r="E696" s="138"/>
      <c r="L696" s="138"/>
      <c r="O696" s="138"/>
      <c r="R696" s="138"/>
      <c r="U696" s="138"/>
      <c r="X696" s="138"/>
    </row>
    <row r="697" spans="4:24" ht="12.75" customHeight="1" x14ac:dyDescent="0.25">
      <c r="D697" s="138"/>
      <c r="E697" s="138"/>
      <c r="L697" s="138"/>
      <c r="O697" s="138"/>
      <c r="R697" s="138"/>
      <c r="U697" s="138"/>
      <c r="X697" s="138"/>
    </row>
    <row r="698" spans="4:24" ht="12.75" customHeight="1" x14ac:dyDescent="0.25">
      <c r="D698" s="138"/>
      <c r="E698" s="138"/>
      <c r="L698" s="138"/>
      <c r="O698" s="138"/>
      <c r="R698" s="138"/>
      <c r="U698" s="138"/>
      <c r="X698" s="138"/>
    </row>
    <row r="699" spans="4:24" ht="12.75" customHeight="1" x14ac:dyDescent="0.25">
      <c r="D699" s="138"/>
      <c r="E699" s="138"/>
      <c r="L699" s="138"/>
      <c r="O699" s="138"/>
      <c r="R699" s="138"/>
      <c r="U699" s="138"/>
      <c r="X699" s="138"/>
    </row>
    <row r="700" spans="4:24" ht="12.75" customHeight="1" x14ac:dyDescent="0.25">
      <c r="D700" s="138"/>
      <c r="E700" s="138"/>
      <c r="L700" s="138"/>
      <c r="O700" s="138"/>
      <c r="R700" s="138"/>
      <c r="U700" s="138"/>
      <c r="X700" s="138"/>
    </row>
    <row r="701" spans="4:24" ht="12.75" customHeight="1" x14ac:dyDescent="0.25">
      <c r="D701" s="138"/>
      <c r="E701" s="138"/>
      <c r="L701" s="138"/>
      <c r="O701" s="138"/>
      <c r="R701" s="138"/>
      <c r="U701" s="138"/>
      <c r="X701" s="138"/>
    </row>
    <row r="702" spans="4:24" ht="12.75" customHeight="1" x14ac:dyDescent="0.25">
      <c r="D702" s="138"/>
      <c r="E702" s="138"/>
      <c r="L702" s="138"/>
      <c r="O702" s="138"/>
      <c r="R702" s="138"/>
      <c r="U702" s="138"/>
      <c r="X702" s="138"/>
    </row>
    <row r="703" spans="4:24" ht="12.75" customHeight="1" x14ac:dyDescent="0.25">
      <c r="D703" s="138"/>
      <c r="E703" s="138"/>
      <c r="L703" s="138"/>
      <c r="O703" s="138"/>
      <c r="R703" s="138"/>
      <c r="U703" s="138"/>
      <c r="X703" s="138"/>
    </row>
    <row r="704" spans="4:24" ht="12.75" customHeight="1" x14ac:dyDescent="0.25">
      <c r="D704" s="138"/>
      <c r="E704" s="138"/>
      <c r="L704" s="138"/>
      <c r="O704" s="138"/>
      <c r="R704" s="138"/>
      <c r="U704" s="138"/>
      <c r="X704" s="138"/>
    </row>
    <row r="705" spans="4:24" ht="12.75" customHeight="1" x14ac:dyDescent="0.25">
      <c r="D705" s="138"/>
      <c r="E705" s="138"/>
      <c r="L705" s="138"/>
      <c r="O705" s="138"/>
      <c r="R705" s="138"/>
      <c r="U705" s="138"/>
      <c r="X705" s="138"/>
    </row>
    <row r="706" spans="4:24" ht="12.75" customHeight="1" x14ac:dyDescent="0.25">
      <c r="D706" s="138"/>
      <c r="E706" s="138"/>
      <c r="L706" s="138"/>
      <c r="O706" s="138"/>
      <c r="R706" s="138"/>
      <c r="U706" s="138"/>
      <c r="X706" s="138"/>
    </row>
    <row r="707" spans="4:24" ht="12.75" customHeight="1" x14ac:dyDescent="0.25">
      <c r="D707" s="138"/>
      <c r="E707" s="138"/>
      <c r="L707" s="138"/>
      <c r="O707" s="138"/>
      <c r="R707" s="138"/>
      <c r="U707" s="138"/>
      <c r="X707" s="138"/>
    </row>
    <row r="708" spans="4:24" ht="12.75" customHeight="1" x14ac:dyDescent="0.25">
      <c r="D708" s="138"/>
      <c r="E708" s="138"/>
      <c r="L708" s="138"/>
      <c r="O708" s="138"/>
      <c r="R708" s="138"/>
      <c r="U708" s="138"/>
      <c r="X708" s="138"/>
    </row>
    <row r="709" spans="4:24" ht="12.75" customHeight="1" x14ac:dyDescent="0.25">
      <c r="D709" s="138"/>
      <c r="E709" s="138"/>
      <c r="L709" s="138"/>
      <c r="O709" s="138"/>
      <c r="R709" s="138"/>
      <c r="U709" s="138"/>
      <c r="X709" s="138"/>
    </row>
    <row r="710" spans="4:24" ht="12.75" customHeight="1" x14ac:dyDescent="0.25">
      <c r="D710" s="138"/>
      <c r="E710" s="138"/>
      <c r="L710" s="138"/>
      <c r="O710" s="138"/>
      <c r="R710" s="138"/>
      <c r="U710" s="138"/>
      <c r="X710" s="138"/>
    </row>
    <row r="711" spans="4:24" ht="12.75" customHeight="1" x14ac:dyDescent="0.25">
      <c r="D711" s="138"/>
      <c r="E711" s="138"/>
      <c r="L711" s="138"/>
      <c r="O711" s="138"/>
      <c r="R711" s="138"/>
      <c r="U711" s="138"/>
      <c r="X711" s="138"/>
    </row>
    <row r="712" spans="4:24" ht="12.75" customHeight="1" x14ac:dyDescent="0.25">
      <c r="D712" s="138"/>
      <c r="E712" s="138"/>
      <c r="L712" s="138"/>
      <c r="O712" s="138"/>
      <c r="R712" s="138"/>
      <c r="U712" s="138"/>
      <c r="X712" s="138"/>
    </row>
    <row r="713" spans="4:24" ht="12.75" customHeight="1" x14ac:dyDescent="0.25">
      <c r="D713" s="138"/>
      <c r="E713" s="138"/>
      <c r="L713" s="138"/>
      <c r="O713" s="138"/>
      <c r="R713" s="138"/>
      <c r="U713" s="138"/>
      <c r="X713" s="138"/>
    </row>
    <row r="714" spans="4:24" ht="12.75" customHeight="1" x14ac:dyDescent="0.25">
      <c r="D714" s="138"/>
      <c r="E714" s="138"/>
      <c r="L714" s="138"/>
      <c r="O714" s="138"/>
      <c r="R714" s="138"/>
      <c r="U714" s="138"/>
      <c r="X714" s="138"/>
    </row>
    <row r="715" spans="4:24" ht="12.75" customHeight="1" x14ac:dyDescent="0.25">
      <c r="D715" s="138"/>
      <c r="E715" s="138"/>
      <c r="L715" s="138"/>
      <c r="O715" s="138"/>
      <c r="R715" s="138"/>
      <c r="U715" s="138"/>
      <c r="X715" s="138"/>
    </row>
    <row r="716" spans="4:24" ht="12.75" customHeight="1" x14ac:dyDescent="0.25">
      <c r="D716" s="138"/>
      <c r="E716" s="138"/>
      <c r="L716" s="138"/>
      <c r="O716" s="138"/>
      <c r="R716" s="138"/>
      <c r="U716" s="138"/>
      <c r="X716" s="138"/>
    </row>
    <row r="717" spans="4:24" ht="12.75" customHeight="1" x14ac:dyDescent="0.25">
      <c r="D717" s="138"/>
      <c r="E717" s="138"/>
      <c r="L717" s="138"/>
      <c r="O717" s="138"/>
      <c r="R717" s="138"/>
      <c r="U717" s="138"/>
      <c r="X717" s="138"/>
    </row>
    <row r="718" spans="4:24" ht="12.75" customHeight="1" x14ac:dyDescent="0.25">
      <c r="D718" s="138"/>
      <c r="E718" s="138"/>
      <c r="L718" s="138"/>
      <c r="O718" s="138"/>
      <c r="R718" s="138"/>
      <c r="U718" s="138"/>
      <c r="X718" s="138"/>
    </row>
    <row r="719" spans="4:24" ht="12.75" customHeight="1" x14ac:dyDescent="0.25">
      <c r="D719" s="138"/>
      <c r="E719" s="138"/>
      <c r="L719" s="138"/>
      <c r="O719" s="138"/>
      <c r="R719" s="138"/>
      <c r="U719" s="138"/>
      <c r="X719" s="138"/>
    </row>
    <row r="720" spans="4:24" ht="12.75" customHeight="1" x14ac:dyDescent="0.25">
      <c r="D720" s="138"/>
      <c r="E720" s="138"/>
      <c r="L720" s="138"/>
      <c r="O720" s="138"/>
      <c r="R720" s="138"/>
      <c r="U720" s="138"/>
      <c r="X720" s="138"/>
    </row>
    <row r="721" spans="4:24" ht="12.75" customHeight="1" x14ac:dyDescent="0.25">
      <c r="D721" s="138"/>
      <c r="E721" s="138"/>
      <c r="L721" s="138"/>
      <c r="O721" s="138"/>
      <c r="R721" s="138"/>
      <c r="U721" s="138"/>
      <c r="X721" s="138"/>
    </row>
    <row r="722" spans="4:24" ht="12.75" customHeight="1" x14ac:dyDescent="0.25">
      <c r="D722" s="138"/>
      <c r="E722" s="138"/>
      <c r="L722" s="138"/>
      <c r="O722" s="138"/>
      <c r="R722" s="138"/>
      <c r="U722" s="138"/>
      <c r="X722" s="138"/>
    </row>
    <row r="723" spans="4:24" ht="12.75" customHeight="1" x14ac:dyDescent="0.25">
      <c r="D723" s="138"/>
      <c r="E723" s="138"/>
      <c r="L723" s="138"/>
      <c r="O723" s="138"/>
      <c r="R723" s="138"/>
      <c r="U723" s="138"/>
      <c r="X723" s="138"/>
    </row>
    <row r="724" spans="4:24" ht="12.75" customHeight="1" x14ac:dyDescent="0.25">
      <c r="D724" s="138"/>
      <c r="E724" s="138"/>
      <c r="L724" s="138"/>
      <c r="O724" s="138"/>
      <c r="R724" s="138"/>
      <c r="U724" s="138"/>
      <c r="X724" s="138"/>
    </row>
    <row r="725" spans="4:24" ht="12.75" customHeight="1" x14ac:dyDescent="0.25">
      <c r="D725" s="138"/>
      <c r="E725" s="138"/>
      <c r="L725" s="138"/>
      <c r="O725" s="138"/>
      <c r="R725" s="138"/>
      <c r="U725" s="138"/>
      <c r="X725" s="138"/>
    </row>
    <row r="726" spans="4:24" ht="12.75" customHeight="1" x14ac:dyDescent="0.25">
      <c r="D726" s="138"/>
      <c r="E726" s="138"/>
      <c r="L726" s="138"/>
      <c r="O726" s="138"/>
      <c r="R726" s="138"/>
      <c r="U726" s="138"/>
      <c r="X726" s="138"/>
    </row>
    <row r="727" spans="4:24" ht="12.75" customHeight="1" x14ac:dyDescent="0.25">
      <c r="D727" s="138"/>
      <c r="E727" s="138"/>
      <c r="L727" s="138"/>
      <c r="O727" s="138"/>
      <c r="R727" s="138"/>
      <c r="U727" s="138"/>
      <c r="X727" s="138"/>
    </row>
    <row r="728" spans="4:24" ht="12.75" customHeight="1" x14ac:dyDescent="0.25">
      <c r="D728" s="138"/>
      <c r="E728" s="138"/>
      <c r="L728" s="138"/>
      <c r="O728" s="138"/>
      <c r="R728" s="138"/>
      <c r="U728" s="138"/>
      <c r="X728" s="138"/>
    </row>
    <row r="729" spans="4:24" ht="12.75" customHeight="1" x14ac:dyDescent="0.25">
      <c r="D729" s="138"/>
      <c r="E729" s="138"/>
      <c r="L729" s="138"/>
      <c r="O729" s="138"/>
      <c r="R729" s="138"/>
      <c r="U729" s="138"/>
      <c r="X729" s="138"/>
    </row>
    <row r="730" spans="4:24" ht="12.75" customHeight="1" x14ac:dyDescent="0.25">
      <c r="D730" s="138"/>
      <c r="E730" s="138"/>
      <c r="L730" s="138"/>
      <c r="O730" s="138"/>
      <c r="R730" s="138"/>
      <c r="U730" s="138"/>
      <c r="X730" s="138"/>
    </row>
    <row r="731" spans="4:24" ht="12.75" customHeight="1" x14ac:dyDescent="0.25">
      <c r="D731" s="138"/>
      <c r="E731" s="138"/>
      <c r="L731" s="138"/>
      <c r="O731" s="138"/>
      <c r="R731" s="138"/>
      <c r="U731" s="138"/>
      <c r="X731" s="138"/>
    </row>
    <row r="732" spans="4:24" ht="12.75" customHeight="1" x14ac:dyDescent="0.25">
      <c r="D732" s="138"/>
      <c r="E732" s="138"/>
      <c r="L732" s="138"/>
      <c r="O732" s="138"/>
      <c r="R732" s="138"/>
      <c r="U732" s="138"/>
      <c r="X732" s="138"/>
    </row>
    <row r="733" spans="4:24" ht="12.75" customHeight="1" x14ac:dyDescent="0.25">
      <c r="D733" s="138"/>
      <c r="E733" s="138"/>
      <c r="L733" s="138"/>
      <c r="O733" s="138"/>
      <c r="R733" s="138"/>
      <c r="U733" s="138"/>
      <c r="X733" s="138"/>
    </row>
    <row r="734" spans="4:24" ht="12.75" customHeight="1" x14ac:dyDescent="0.25">
      <c r="D734" s="138"/>
      <c r="E734" s="138"/>
      <c r="L734" s="138"/>
      <c r="O734" s="138"/>
      <c r="R734" s="138"/>
      <c r="U734" s="138"/>
      <c r="X734" s="138"/>
    </row>
    <row r="735" spans="4:24" ht="12.75" customHeight="1" x14ac:dyDescent="0.25">
      <c r="D735" s="138"/>
      <c r="E735" s="138"/>
      <c r="L735" s="138"/>
      <c r="O735" s="138"/>
      <c r="R735" s="138"/>
      <c r="U735" s="138"/>
      <c r="X735" s="138"/>
    </row>
    <row r="736" spans="4:24" ht="12.75" customHeight="1" x14ac:dyDescent="0.25">
      <c r="D736" s="138"/>
      <c r="E736" s="138"/>
      <c r="L736" s="138"/>
      <c r="O736" s="138"/>
      <c r="R736" s="138"/>
      <c r="U736" s="138"/>
      <c r="X736" s="138"/>
    </row>
    <row r="737" spans="4:24" ht="12.75" customHeight="1" x14ac:dyDescent="0.25">
      <c r="D737" s="138"/>
      <c r="E737" s="138"/>
      <c r="L737" s="138"/>
      <c r="O737" s="138"/>
      <c r="R737" s="138"/>
      <c r="U737" s="138"/>
      <c r="X737" s="138"/>
    </row>
    <row r="738" spans="4:24" ht="12.75" customHeight="1" x14ac:dyDescent="0.25">
      <c r="D738" s="138"/>
      <c r="E738" s="138"/>
      <c r="L738" s="138"/>
      <c r="O738" s="138"/>
      <c r="R738" s="138"/>
      <c r="U738" s="138"/>
      <c r="X738" s="138"/>
    </row>
    <row r="739" spans="4:24" ht="12.75" customHeight="1" x14ac:dyDescent="0.25">
      <c r="D739" s="138"/>
      <c r="E739" s="138"/>
      <c r="L739" s="138"/>
      <c r="O739" s="138"/>
      <c r="R739" s="138"/>
      <c r="U739" s="138"/>
      <c r="X739" s="138"/>
    </row>
    <row r="740" spans="4:24" ht="12.75" customHeight="1" x14ac:dyDescent="0.25">
      <c r="D740" s="138"/>
      <c r="E740" s="138"/>
      <c r="L740" s="138"/>
      <c r="O740" s="138"/>
      <c r="R740" s="138"/>
      <c r="U740" s="138"/>
      <c r="X740" s="138"/>
    </row>
    <row r="741" spans="4:24" ht="12.75" customHeight="1" x14ac:dyDescent="0.25">
      <c r="D741" s="138"/>
      <c r="E741" s="138"/>
      <c r="L741" s="138"/>
      <c r="O741" s="138"/>
      <c r="R741" s="138"/>
      <c r="U741" s="138"/>
      <c r="X741" s="138"/>
    </row>
    <row r="742" spans="4:24" ht="12.75" customHeight="1" x14ac:dyDescent="0.25">
      <c r="D742" s="138"/>
      <c r="E742" s="138"/>
      <c r="L742" s="138"/>
      <c r="O742" s="138"/>
      <c r="R742" s="138"/>
      <c r="U742" s="138"/>
      <c r="X742" s="138"/>
    </row>
    <row r="743" spans="4:24" ht="12.75" customHeight="1" x14ac:dyDescent="0.25">
      <c r="D743" s="138"/>
      <c r="E743" s="138"/>
      <c r="L743" s="138"/>
      <c r="O743" s="138"/>
      <c r="R743" s="138"/>
      <c r="U743" s="138"/>
      <c r="X743" s="138"/>
    </row>
    <row r="744" spans="4:24" ht="12.75" customHeight="1" x14ac:dyDescent="0.25">
      <c r="D744" s="138"/>
      <c r="E744" s="138"/>
      <c r="L744" s="138"/>
      <c r="O744" s="138"/>
      <c r="R744" s="138"/>
      <c r="U744" s="138"/>
      <c r="X744" s="138"/>
    </row>
    <row r="745" spans="4:24" ht="12.75" customHeight="1" x14ac:dyDescent="0.25">
      <c r="D745" s="138"/>
      <c r="E745" s="138"/>
      <c r="L745" s="138"/>
      <c r="O745" s="138"/>
      <c r="R745" s="138"/>
      <c r="U745" s="138"/>
      <c r="X745" s="138"/>
    </row>
    <row r="746" spans="4:24" ht="12.75" customHeight="1" x14ac:dyDescent="0.25">
      <c r="D746" s="138"/>
      <c r="E746" s="138"/>
      <c r="L746" s="138"/>
      <c r="O746" s="138"/>
      <c r="R746" s="138"/>
      <c r="U746" s="138"/>
      <c r="X746" s="138"/>
    </row>
    <row r="747" spans="4:24" ht="12.75" customHeight="1" x14ac:dyDescent="0.25">
      <c r="D747" s="138"/>
      <c r="E747" s="138"/>
      <c r="L747" s="138"/>
      <c r="O747" s="138"/>
      <c r="R747" s="138"/>
      <c r="U747" s="138"/>
      <c r="X747" s="138"/>
    </row>
    <row r="748" spans="4:24" ht="12.75" customHeight="1" x14ac:dyDescent="0.25">
      <c r="D748" s="138"/>
      <c r="E748" s="138"/>
      <c r="L748" s="138"/>
      <c r="O748" s="138"/>
      <c r="R748" s="138"/>
      <c r="U748" s="138"/>
      <c r="X748" s="138"/>
    </row>
    <row r="749" spans="4:24" ht="12.75" customHeight="1" x14ac:dyDescent="0.25">
      <c r="D749" s="138"/>
      <c r="E749" s="138"/>
      <c r="L749" s="138"/>
      <c r="O749" s="138"/>
      <c r="R749" s="138"/>
      <c r="U749" s="138"/>
      <c r="X749" s="138"/>
    </row>
    <row r="750" spans="4:24" ht="12.75" customHeight="1" x14ac:dyDescent="0.25">
      <c r="D750" s="138"/>
      <c r="E750" s="138"/>
      <c r="L750" s="138"/>
      <c r="O750" s="138"/>
      <c r="R750" s="138"/>
      <c r="U750" s="138"/>
      <c r="X750" s="138"/>
    </row>
    <row r="751" spans="4:24" ht="12.75" customHeight="1" x14ac:dyDescent="0.25">
      <c r="D751" s="138"/>
      <c r="E751" s="138"/>
      <c r="L751" s="138"/>
      <c r="O751" s="138"/>
      <c r="R751" s="138"/>
      <c r="U751" s="138"/>
      <c r="X751" s="138"/>
    </row>
    <row r="752" spans="4:24" ht="12.75" customHeight="1" x14ac:dyDescent="0.25">
      <c r="D752" s="138"/>
      <c r="E752" s="138"/>
      <c r="L752" s="138"/>
      <c r="O752" s="138"/>
      <c r="R752" s="138"/>
      <c r="U752" s="138"/>
      <c r="X752" s="138"/>
    </row>
    <row r="753" spans="4:24" ht="12.75" customHeight="1" x14ac:dyDescent="0.25">
      <c r="D753" s="138"/>
      <c r="E753" s="138"/>
      <c r="L753" s="138"/>
      <c r="O753" s="138"/>
      <c r="R753" s="138"/>
      <c r="U753" s="138"/>
      <c r="X753" s="138"/>
    </row>
    <row r="754" spans="4:24" ht="12.75" customHeight="1" x14ac:dyDescent="0.25">
      <c r="D754" s="138"/>
      <c r="E754" s="138"/>
      <c r="L754" s="138"/>
      <c r="O754" s="138"/>
      <c r="R754" s="138"/>
      <c r="U754" s="138"/>
      <c r="X754" s="138"/>
    </row>
    <row r="755" spans="4:24" ht="12.75" customHeight="1" x14ac:dyDescent="0.25">
      <c r="D755" s="138"/>
      <c r="E755" s="138"/>
      <c r="L755" s="138"/>
      <c r="O755" s="138"/>
      <c r="R755" s="138"/>
      <c r="U755" s="138"/>
      <c r="X755" s="138"/>
    </row>
    <row r="756" spans="4:24" ht="12.75" customHeight="1" x14ac:dyDescent="0.25">
      <c r="D756" s="138"/>
      <c r="E756" s="138"/>
      <c r="L756" s="138"/>
      <c r="O756" s="138"/>
      <c r="R756" s="138"/>
      <c r="U756" s="138"/>
      <c r="X756" s="138"/>
    </row>
    <row r="757" spans="4:24" ht="12.75" customHeight="1" x14ac:dyDescent="0.25">
      <c r="D757" s="138"/>
      <c r="E757" s="138"/>
      <c r="L757" s="138"/>
      <c r="O757" s="138"/>
      <c r="R757" s="138"/>
      <c r="U757" s="138"/>
      <c r="X757" s="138"/>
    </row>
    <row r="758" spans="4:24" ht="12.75" customHeight="1" x14ac:dyDescent="0.25">
      <c r="D758" s="138"/>
      <c r="E758" s="138"/>
      <c r="L758" s="138"/>
      <c r="O758" s="138"/>
      <c r="R758" s="138"/>
      <c r="U758" s="138"/>
      <c r="X758" s="138"/>
    </row>
    <row r="759" spans="4:24" ht="12.75" customHeight="1" x14ac:dyDescent="0.25">
      <c r="D759" s="138"/>
      <c r="E759" s="138"/>
      <c r="L759" s="138"/>
      <c r="O759" s="138"/>
      <c r="R759" s="138"/>
      <c r="U759" s="138"/>
      <c r="X759" s="138"/>
    </row>
    <row r="760" spans="4:24" ht="12.75" customHeight="1" x14ac:dyDescent="0.25">
      <c r="D760" s="138"/>
      <c r="E760" s="138"/>
      <c r="L760" s="138"/>
      <c r="O760" s="138"/>
      <c r="R760" s="138"/>
      <c r="U760" s="138"/>
      <c r="X760" s="138"/>
    </row>
    <row r="761" spans="4:24" ht="12.75" customHeight="1" x14ac:dyDescent="0.25">
      <c r="D761" s="138"/>
      <c r="E761" s="138"/>
      <c r="L761" s="138"/>
      <c r="O761" s="138"/>
      <c r="R761" s="138"/>
      <c r="U761" s="138"/>
      <c r="X761" s="138"/>
    </row>
    <row r="762" spans="4:24" ht="12.75" customHeight="1" x14ac:dyDescent="0.25">
      <c r="D762" s="138"/>
      <c r="E762" s="138"/>
      <c r="L762" s="138"/>
      <c r="O762" s="138"/>
      <c r="R762" s="138"/>
      <c r="U762" s="138"/>
      <c r="X762" s="138"/>
    </row>
    <row r="763" spans="4:24" ht="12.75" customHeight="1" x14ac:dyDescent="0.25">
      <c r="D763" s="138"/>
      <c r="E763" s="138"/>
      <c r="L763" s="138"/>
      <c r="O763" s="138"/>
      <c r="R763" s="138"/>
      <c r="U763" s="138"/>
      <c r="X763" s="138"/>
    </row>
    <row r="764" spans="4:24" ht="12.75" customHeight="1" x14ac:dyDescent="0.25">
      <c r="D764" s="138"/>
      <c r="E764" s="138"/>
      <c r="L764" s="138"/>
      <c r="O764" s="138"/>
      <c r="R764" s="138"/>
      <c r="U764" s="138"/>
      <c r="X764" s="138"/>
    </row>
    <row r="765" spans="4:24" ht="12.75" customHeight="1" x14ac:dyDescent="0.25">
      <c r="D765" s="138"/>
      <c r="E765" s="138"/>
      <c r="L765" s="138"/>
      <c r="O765" s="138"/>
      <c r="R765" s="138"/>
      <c r="U765" s="138"/>
      <c r="X765" s="138"/>
    </row>
    <row r="766" spans="4:24" ht="12.75" customHeight="1" x14ac:dyDescent="0.25">
      <c r="D766" s="138"/>
      <c r="E766" s="138"/>
      <c r="L766" s="138"/>
      <c r="O766" s="138"/>
      <c r="R766" s="138"/>
      <c r="U766" s="138"/>
      <c r="X766" s="138"/>
    </row>
    <row r="767" spans="4:24" ht="12.75" customHeight="1" x14ac:dyDescent="0.25">
      <c r="D767" s="138"/>
      <c r="E767" s="138"/>
      <c r="L767" s="138"/>
      <c r="O767" s="138"/>
      <c r="R767" s="138"/>
      <c r="U767" s="138"/>
      <c r="X767" s="138"/>
    </row>
    <row r="768" spans="4:24" ht="12.75" customHeight="1" x14ac:dyDescent="0.25">
      <c r="D768" s="138"/>
      <c r="E768" s="138"/>
      <c r="L768" s="138"/>
      <c r="O768" s="138"/>
      <c r="R768" s="138"/>
      <c r="U768" s="138"/>
      <c r="X768" s="138"/>
    </row>
    <row r="769" spans="4:24" ht="12.75" customHeight="1" x14ac:dyDescent="0.25">
      <c r="D769" s="138"/>
      <c r="E769" s="138"/>
      <c r="L769" s="138"/>
      <c r="O769" s="138"/>
      <c r="R769" s="138"/>
      <c r="U769" s="138"/>
      <c r="X769" s="138"/>
    </row>
    <row r="770" spans="4:24" ht="12.75" customHeight="1" x14ac:dyDescent="0.25">
      <c r="D770" s="138"/>
      <c r="E770" s="138"/>
      <c r="L770" s="138"/>
      <c r="O770" s="138"/>
      <c r="R770" s="138"/>
      <c r="U770" s="138"/>
      <c r="X770" s="138"/>
    </row>
    <row r="771" spans="4:24" ht="12.75" customHeight="1" x14ac:dyDescent="0.25">
      <c r="D771" s="138"/>
      <c r="E771" s="138"/>
      <c r="L771" s="138"/>
      <c r="O771" s="138"/>
      <c r="R771" s="138"/>
      <c r="U771" s="138"/>
      <c r="X771" s="138"/>
    </row>
    <row r="772" spans="4:24" ht="12.75" customHeight="1" x14ac:dyDescent="0.25">
      <c r="D772" s="138"/>
      <c r="E772" s="138"/>
      <c r="L772" s="138"/>
      <c r="O772" s="138"/>
      <c r="R772" s="138"/>
      <c r="U772" s="138"/>
      <c r="X772" s="138"/>
    </row>
    <row r="773" spans="4:24" ht="12.75" customHeight="1" x14ac:dyDescent="0.25">
      <c r="D773" s="138"/>
      <c r="E773" s="138"/>
      <c r="L773" s="138"/>
      <c r="O773" s="138"/>
      <c r="R773" s="138"/>
      <c r="U773" s="138"/>
      <c r="X773" s="138"/>
    </row>
    <row r="774" spans="4:24" ht="12.75" customHeight="1" x14ac:dyDescent="0.25">
      <c r="D774" s="138"/>
      <c r="E774" s="138"/>
      <c r="L774" s="138"/>
      <c r="O774" s="138"/>
      <c r="R774" s="138"/>
      <c r="U774" s="138"/>
      <c r="X774" s="138"/>
    </row>
    <row r="775" spans="4:24" ht="12.75" customHeight="1" x14ac:dyDescent="0.25">
      <c r="D775" s="138"/>
      <c r="E775" s="138"/>
      <c r="L775" s="138"/>
      <c r="O775" s="138"/>
      <c r="R775" s="138"/>
      <c r="U775" s="138"/>
      <c r="X775" s="138"/>
    </row>
    <row r="776" spans="4:24" ht="12.75" customHeight="1" x14ac:dyDescent="0.25">
      <c r="D776" s="138"/>
      <c r="E776" s="138"/>
      <c r="L776" s="138"/>
      <c r="O776" s="138"/>
      <c r="R776" s="138"/>
      <c r="U776" s="138"/>
      <c r="X776" s="138"/>
    </row>
    <row r="777" spans="4:24" ht="12.75" customHeight="1" x14ac:dyDescent="0.25">
      <c r="D777" s="138"/>
      <c r="E777" s="138"/>
      <c r="L777" s="138"/>
      <c r="O777" s="138"/>
      <c r="R777" s="138"/>
      <c r="U777" s="138"/>
      <c r="X777" s="138"/>
    </row>
    <row r="778" spans="4:24" ht="12.75" customHeight="1" x14ac:dyDescent="0.25">
      <c r="D778" s="138"/>
      <c r="E778" s="138"/>
      <c r="L778" s="138"/>
      <c r="O778" s="138"/>
      <c r="R778" s="138"/>
      <c r="U778" s="138"/>
      <c r="X778" s="138"/>
    </row>
    <row r="779" spans="4:24" ht="12.75" customHeight="1" x14ac:dyDescent="0.25">
      <c r="D779" s="138"/>
      <c r="E779" s="138"/>
      <c r="L779" s="138"/>
      <c r="O779" s="138"/>
      <c r="R779" s="138"/>
      <c r="U779" s="138"/>
      <c r="X779" s="138"/>
    </row>
    <row r="780" spans="4:24" ht="12.75" customHeight="1" x14ac:dyDescent="0.25">
      <c r="D780" s="138"/>
      <c r="E780" s="138"/>
      <c r="L780" s="138"/>
      <c r="O780" s="138"/>
      <c r="R780" s="138"/>
      <c r="U780" s="138"/>
      <c r="X780" s="138"/>
    </row>
    <row r="781" spans="4:24" ht="12.75" customHeight="1" x14ac:dyDescent="0.25">
      <c r="D781" s="138"/>
      <c r="E781" s="138"/>
      <c r="L781" s="138"/>
      <c r="O781" s="138"/>
      <c r="R781" s="138"/>
      <c r="U781" s="138"/>
      <c r="X781" s="138"/>
    </row>
    <row r="782" spans="4:24" ht="12.75" customHeight="1" x14ac:dyDescent="0.25">
      <c r="D782" s="138"/>
      <c r="E782" s="138"/>
      <c r="L782" s="138"/>
      <c r="O782" s="138"/>
      <c r="R782" s="138"/>
      <c r="U782" s="138"/>
      <c r="X782" s="138"/>
    </row>
    <row r="783" spans="4:24" ht="12.75" customHeight="1" x14ac:dyDescent="0.25">
      <c r="D783" s="138"/>
      <c r="E783" s="138"/>
      <c r="L783" s="138"/>
      <c r="O783" s="138"/>
      <c r="R783" s="138"/>
      <c r="U783" s="138"/>
      <c r="X783" s="138"/>
    </row>
    <row r="784" spans="4:24" ht="12.75" customHeight="1" x14ac:dyDescent="0.25">
      <c r="D784" s="138"/>
      <c r="E784" s="138"/>
      <c r="L784" s="138"/>
      <c r="O784" s="138"/>
      <c r="R784" s="138"/>
      <c r="U784" s="138"/>
      <c r="X784" s="138"/>
    </row>
    <row r="785" spans="4:24" ht="12.75" customHeight="1" x14ac:dyDescent="0.25">
      <c r="D785" s="138"/>
      <c r="E785" s="138"/>
      <c r="L785" s="138"/>
      <c r="O785" s="138"/>
      <c r="R785" s="138"/>
      <c r="U785" s="138"/>
      <c r="X785" s="138"/>
    </row>
    <row r="786" spans="4:24" ht="12.75" customHeight="1" x14ac:dyDescent="0.25">
      <c r="D786" s="138"/>
      <c r="E786" s="138"/>
      <c r="L786" s="138"/>
      <c r="O786" s="138"/>
      <c r="R786" s="138"/>
      <c r="U786" s="138"/>
      <c r="X786" s="138"/>
    </row>
    <row r="787" spans="4:24" ht="12.75" customHeight="1" x14ac:dyDescent="0.25">
      <c r="D787" s="138"/>
      <c r="E787" s="138"/>
      <c r="L787" s="138"/>
      <c r="O787" s="138"/>
      <c r="R787" s="138"/>
      <c r="U787" s="138"/>
      <c r="X787" s="138"/>
    </row>
    <row r="788" spans="4:24" ht="12.75" customHeight="1" x14ac:dyDescent="0.25">
      <c r="D788" s="138"/>
      <c r="E788" s="138"/>
      <c r="L788" s="138"/>
      <c r="O788" s="138"/>
      <c r="R788" s="138"/>
      <c r="U788" s="138"/>
      <c r="X788" s="138"/>
    </row>
    <row r="789" spans="4:24" ht="12.75" customHeight="1" x14ac:dyDescent="0.25">
      <c r="D789" s="138"/>
      <c r="E789" s="138"/>
      <c r="L789" s="138"/>
      <c r="O789" s="138"/>
      <c r="R789" s="138"/>
      <c r="U789" s="138"/>
      <c r="X789" s="138"/>
    </row>
    <row r="790" spans="4:24" ht="12.75" customHeight="1" x14ac:dyDescent="0.25">
      <c r="D790" s="138"/>
      <c r="E790" s="138"/>
      <c r="L790" s="138"/>
      <c r="O790" s="138"/>
      <c r="R790" s="138"/>
      <c r="U790" s="138"/>
      <c r="X790" s="138"/>
    </row>
    <row r="791" spans="4:24" ht="12.75" customHeight="1" x14ac:dyDescent="0.25">
      <c r="D791" s="138"/>
      <c r="E791" s="138"/>
      <c r="L791" s="138"/>
      <c r="O791" s="138"/>
      <c r="R791" s="138"/>
      <c r="U791" s="138"/>
      <c r="X791" s="138"/>
    </row>
    <row r="792" spans="4:24" ht="12.75" customHeight="1" x14ac:dyDescent="0.25">
      <c r="D792" s="138"/>
      <c r="E792" s="138"/>
      <c r="L792" s="138"/>
      <c r="O792" s="138"/>
      <c r="R792" s="138"/>
      <c r="U792" s="138"/>
      <c r="X792" s="138"/>
    </row>
    <row r="793" spans="4:24" ht="12.75" customHeight="1" x14ac:dyDescent="0.25">
      <c r="D793" s="138"/>
      <c r="E793" s="138"/>
      <c r="L793" s="138"/>
      <c r="O793" s="138"/>
      <c r="R793" s="138"/>
      <c r="U793" s="138"/>
      <c r="X793" s="138"/>
    </row>
    <row r="794" spans="4:24" ht="12.75" customHeight="1" x14ac:dyDescent="0.25">
      <c r="D794" s="138"/>
      <c r="E794" s="138"/>
      <c r="L794" s="138"/>
      <c r="O794" s="138"/>
      <c r="R794" s="138"/>
      <c r="U794" s="138"/>
      <c r="X794" s="138"/>
    </row>
    <row r="795" spans="4:24" ht="12.75" customHeight="1" x14ac:dyDescent="0.25">
      <c r="D795" s="138"/>
      <c r="E795" s="138"/>
      <c r="L795" s="138"/>
      <c r="O795" s="138"/>
      <c r="R795" s="138"/>
      <c r="U795" s="138"/>
      <c r="X795" s="138"/>
    </row>
    <row r="796" spans="4:24" ht="12.75" customHeight="1" x14ac:dyDescent="0.25">
      <c r="D796" s="138"/>
      <c r="E796" s="138"/>
      <c r="L796" s="138"/>
      <c r="O796" s="138"/>
      <c r="R796" s="138"/>
      <c r="U796" s="138"/>
      <c r="X796" s="138"/>
    </row>
    <row r="797" spans="4:24" ht="12.75" customHeight="1" x14ac:dyDescent="0.25">
      <c r="D797" s="138"/>
      <c r="E797" s="138"/>
      <c r="L797" s="138"/>
      <c r="O797" s="138"/>
      <c r="R797" s="138"/>
      <c r="U797" s="138"/>
      <c r="X797" s="138"/>
    </row>
    <row r="798" spans="4:24" ht="12.75" customHeight="1" x14ac:dyDescent="0.25">
      <c r="D798" s="138"/>
      <c r="E798" s="138"/>
      <c r="L798" s="138"/>
      <c r="O798" s="138"/>
      <c r="R798" s="138"/>
      <c r="U798" s="138"/>
      <c r="X798" s="138"/>
    </row>
    <row r="799" spans="4:24" ht="12.75" customHeight="1" x14ac:dyDescent="0.25">
      <c r="D799" s="138"/>
      <c r="E799" s="138"/>
      <c r="L799" s="138"/>
      <c r="O799" s="138"/>
      <c r="R799" s="138"/>
      <c r="U799" s="138"/>
      <c r="X799" s="138"/>
    </row>
    <row r="800" spans="4:24" ht="12.75" customHeight="1" x14ac:dyDescent="0.25">
      <c r="D800" s="138"/>
      <c r="E800" s="138"/>
      <c r="L800" s="138"/>
      <c r="O800" s="138"/>
      <c r="R800" s="138"/>
      <c r="U800" s="138"/>
      <c r="X800" s="138"/>
    </row>
    <row r="801" spans="4:24" ht="12.75" customHeight="1" x14ac:dyDescent="0.25">
      <c r="D801" s="138"/>
      <c r="E801" s="138"/>
      <c r="L801" s="138"/>
      <c r="O801" s="138"/>
      <c r="R801" s="138"/>
      <c r="U801" s="138"/>
      <c r="X801" s="138"/>
    </row>
    <row r="802" spans="4:24" ht="12.75" customHeight="1" x14ac:dyDescent="0.25">
      <c r="D802" s="138"/>
      <c r="E802" s="138"/>
      <c r="L802" s="138"/>
      <c r="O802" s="138"/>
      <c r="R802" s="138"/>
      <c r="U802" s="138"/>
      <c r="X802" s="138"/>
    </row>
    <row r="803" spans="4:24" ht="12.75" customHeight="1" x14ac:dyDescent="0.25">
      <c r="D803" s="138"/>
      <c r="E803" s="138"/>
      <c r="L803" s="138"/>
      <c r="O803" s="138"/>
      <c r="R803" s="138"/>
      <c r="U803" s="138"/>
      <c r="X803" s="138"/>
    </row>
    <row r="804" spans="4:24" ht="12.75" customHeight="1" x14ac:dyDescent="0.25">
      <c r="D804" s="138"/>
      <c r="E804" s="138"/>
      <c r="L804" s="138"/>
      <c r="O804" s="138"/>
      <c r="R804" s="138"/>
      <c r="U804" s="138"/>
      <c r="X804" s="138"/>
    </row>
    <row r="805" spans="4:24" ht="12.75" customHeight="1" x14ac:dyDescent="0.25">
      <c r="D805" s="138"/>
      <c r="E805" s="138"/>
      <c r="L805" s="138"/>
      <c r="O805" s="138"/>
      <c r="R805" s="138"/>
      <c r="U805" s="138"/>
      <c r="X805" s="138"/>
    </row>
    <row r="806" spans="4:24" ht="12.75" customHeight="1" x14ac:dyDescent="0.25">
      <c r="D806" s="138"/>
      <c r="E806" s="138"/>
      <c r="L806" s="138"/>
      <c r="O806" s="138"/>
      <c r="R806" s="138"/>
      <c r="U806" s="138"/>
      <c r="X806" s="138"/>
    </row>
    <row r="807" spans="4:24" ht="12.75" customHeight="1" x14ac:dyDescent="0.25">
      <c r="D807" s="138"/>
      <c r="E807" s="138"/>
      <c r="L807" s="138"/>
      <c r="O807" s="138"/>
      <c r="R807" s="138"/>
      <c r="U807" s="138"/>
      <c r="X807" s="138"/>
    </row>
    <row r="808" spans="4:24" ht="12.75" customHeight="1" x14ac:dyDescent="0.25">
      <c r="D808" s="138"/>
      <c r="E808" s="138"/>
      <c r="L808" s="138"/>
      <c r="O808" s="138"/>
      <c r="R808" s="138"/>
      <c r="U808" s="138"/>
      <c r="X808" s="138"/>
    </row>
    <row r="809" spans="4:24" ht="12.75" customHeight="1" x14ac:dyDescent="0.25">
      <c r="D809" s="138"/>
      <c r="E809" s="138"/>
      <c r="L809" s="138"/>
      <c r="O809" s="138"/>
      <c r="R809" s="138"/>
      <c r="U809" s="138"/>
      <c r="X809" s="138"/>
    </row>
    <row r="810" spans="4:24" ht="12.75" customHeight="1" x14ac:dyDescent="0.25">
      <c r="D810" s="138"/>
      <c r="E810" s="138"/>
      <c r="L810" s="138"/>
      <c r="O810" s="138"/>
      <c r="R810" s="138"/>
      <c r="U810" s="138"/>
      <c r="X810" s="138"/>
    </row>
    <row r="811" spans="4:24" ht="12.75" customHeight="1" x14ac:dyDescent="0.25">
      <c r="D811" s="138"/>
      <c r="E811" s="138"/>
      <c r="L811" s="138"/>
      <c r="O811" s="138"/>
      <c r="R811" s="138"/>
      <c r="U811" s="138"/>
      <c r="X811" s="138"/>
    </row>
    <row r="812" spans="4:24" ht="12.75" customHeight="1" x14ac:dyDescent="0.25">
      <c r="D812" s="138"/>
      <c r="E812" s="138"/>
      <c r="L812" s="138"/>
      <c r="O812" s="138"/>
      <c r="R812" s="138"/>
      <c r="U812" s="138"/>
      <c r="X812" s="138"/>
    </row>
    <row r="813" spans="4:24" ht="12.75" customHeight="1" x14ac:dyDescent="0.25">
      <c r="D813" s="138"/>
      <c r="E813" s="138"/>
      <c r="L813" s="138"/>
      <c r="O813" s="138"/>
      <c r="R813" s="138"/>
      <c r="U813" s="138"/>
      <c r="X813" s="138"/>
    </row>
    <row r="814" spans="4:24" ht="12.75" customHeight="1" x14ac:dyDescent="0.25">
      <c r="D814" s="138"/>
      <c r="E814" s="138"/>
      <c r="L814" s="138"/>
      <c r="O814" s="138"/>
      <c r="R814" s="138"/>
      <c r="U814" s="138"/>
      <c r="X814" s="138"/>
    </row>
    <row r="815" spans="4:24" ht="12.75" customHeight="1" x14ac:dyDescent="0.25">
      <c r="D815" s="138"/>
      <c r="E815" s="138"/>
      <c r="L815" s="138"/>
      <c r="O815" s="138"/>
      <c r="R815" s="138"/>
      <c r="U815" s="138"/>
      <c r="X815" s="138"/>
    </row>
    <row r="816" spans="4:24" ht="12.75" customHeight="1" x14ac:dyDescent="0.25">
      <c r="D816" s="138"/>
      <c r="E816" s="138"/>
      <c r="L816" s="138"/>
      <c r="O816" s="138"/>
      <c r="R816" s="138"/>
      <c r="U816" s="138"/>
      <c r="X816" s="138"/>
    </row>
    <row r="817" spans="4:24" ht="12.75" customHeight="1" x14ac:dyDescent="0.25">
      <c r="D817" s="138"/>
      <c r="E817" s="138"/>
      <c r="L817" s="138"/>
      <c r="O817" s="138"/>
      <c r="R817" s="138"/>
      <c r="U817" s="138"/>
      <c r="X817" s="138"/>
    </row>
    <row r="818" spans="4:24" ht="12.75" customHeight="1" x14ac:dyDescent="0.25">
      <c r="D818" s="138"/>
      <c r="E818" s="138"/>
      <c r="L818" s="138"/>
      <c r="O818" s="138"/>
      <c r="R818" s="138"/>
      <c r="U818" s="138"/>
      <c r="X818" s="138"/>
    </row>
    <row r="819" spans="4:24" ht="12.75" customHeight="1" x14ac:dyDescent="0.25">
      <c r="D819" s="138"/>
      <c r="E819" s="138"/>
      <c r="L819" s="138"/>
      <c r="O819" s="138"/>
      <c r="R819" s="138"/>
      <c r="U819" s="138"/>
      <c r="X819" s="138"/>
    </row>
    <row r="820" spans="4:24" ht="12.75" customHeight="1" x14ac:dyDescent="0.25">
      <c r="D820" s="138"/>
      <c r="E820" s="138"/>
      <c r="L820" s="138"/>
      <c r="O820" s="138"/>
      <c r="R820" s="138"/>
      <c r="U820" s="138"/>
      <c r="X820" s="138"/>
    </row>
    <row r="821" spans="4:24" ht="12.75" customHeight="1" x14ac:dyDescent="0.25">
      <c r="D821" s="138"/>
      <c r="E821" s="138"/>
      <c r="L821" s="138"/>
      <c r="O821" s="138"/>
      <c r="R821" s="138"/>
      <c r="U821" s="138"/>
      <c r="X821" s="138"/>
    </row>
    <row r="822" spans="4:24" ht="12.75" customHeight="1" x14ac:dyDescent="0.25">
      <c r="D822" s="138"/>
      <c r="E822" s="138"/>
      <c r="L822" s="138"/>
      <c r="O822" s="138"/>
      <c r="R822" s="138"/>
      <c r="U822" s="138"/>
      <c r="X822" s="138"/>
    </row>
    <row r="823" spans="4:24" ht="12.75" customHeight="1" x14ac:dyDescent="0.25">
      <c r="D823" s="138"/>
      <c r="E823" s="138"/>
      <c r="L823" s="138"/>
      <c r="O823" s="138"/>
      <c r="R823" s="138"/>
      <c r="U823" s="138"/>
      <c r="X823" s="138"/>
    </row>
    <row r="824" spans="4:24" ht="12.75" customHeight="1" x14ac:dyDescent="0.25">
      <c r="D824" s="138"/>
      <c r="E824" s="138"/>
      <c r="L824" s="138"/>
      <c r="O824" s="138"/>
      <c r="R824" s="138"/>
      <c r="U824" s="138"/>
      <c r="X824" s="138"/>
    </row>
    <row r="825" spans="4:24" ht="12.75" customHeight="1" x14ac:dyDescent="0.25">
      <c r="D825" s="138"/>
      <c r="E825" s="138"/>
      <c r="L825" s="138"/>
      <c r="O825" s="138"/>
      <c r="R825" s="138"/>
      <c r="U825" s="138"/>
      <c r="X825" s="138"/>
    </row>
    <row r="826" spans="4:24" ht="12.75" customHeight="1" x14ac:dyDescent="0.25">
      <c r="D826" s="138"/>
      <c r="E826" s="138"/>
      <c r="L826" s="138"/>
      <c r="O826" s="138"/>
      <c r="R826" s="138"/>
      <c r="U826" s="138"/>
      <c r="X826" s="138"/>
    </row>
    <row r="827" spans="4:24" ht="12.75" customHeight="1" x14ac:dyDescent="0.25">
      <c r="D827" s="138"/>
      <c r="E827" s="138"/>
      <c r="L827" s="138"/>
      <c r="O827" s="138"/>
      <c r="R827" s="138"/>
      <c r="U827" s="138"/>
      <c r="X827" s="138"/>
    </row>
    <row r="828" spans="4:24" ht="12.75" customHeight="1" x14ac:dyDescent="0.25">
      <c r="D828" s="138"/>
      <c r="E828" s="138"/>
      <c r="L828" s="138"/>
      <c r="O828" s="138"/>
      <c r="R828" s="138"/>
      <c r="U828" s="138"/>
      <c r="X828" s="138"/>
    </row>
    <row r="829" spans="4:24" ht="12.75" customHeight="1" x14ac:dyDescent="0.25">
      <c r="D829" s="138"/>
      <c r="E829" s="138"/>
      <c r="L829" s="138"/>
      <c r="O829" s="138"/>
      <c r="R829" s="138"/>
      <c r="U829" s="138"/>
      <c r="X829" s="138"/>
    </row>
    <row r="830" spans="4:24" ht="12.75" customHeight="1" x14ac:dyDescent="0.25">
      <c r="D830" s="138"/>
      <c r="E830" s="138"/>
      <c r="L830" s="138"/>
      <c r="O830" s="138"/>
      <c r="R830" s="138"/>
      <c r="U830" s="138"/>
      <c r="X830" s="138"/>
    </row>
    <row r="831" spans="4:24" ht="12.75" customHeight="1" x14ac:dyDescent="0.25">
      <c r="D831" s="138"/>
      <c r="E831" s="138"/>
      <c r="L831" s="138"/>
      <c r="O831" s="138"/>
      <c r="R831" s="138"/>
      <c r="U831" s="138"/>
      <c r="X831" s="138"/>
    </row>
    <row r="832" spans="4:24" ht="12.75" customHeight="1" x14ac:dyDescent="0.25">
      <c r="D832" s="138"/>
      <c r="E832" s="138"/>
      <c r="L832" s="138"/>
      <c r="O832" s="138"/>
      <c r="R832" s="138"/>
      <c r="U832" s="138"/>
      <c r="X832" s="138"/>
    </row>
    <row r="833" spans="4:24" ht="12.75" customHeight="1" x14ac:dyDescent="0.25">
      <c r="D833" s="138"/>
      <c r="E833" s="138"/>
      <c r="L833" s="138"/>
      <c r="O833" s="138"/>
      <c r="R833" s="138"/>
      <c r="U833" s="138"/>
      <c r="X833" s="138"/>
    </row>
    <row r="834" spans="4:24" ht="12.75" customHeight="1" x14ac:dyDescent="0.25">
      <c r="D834" s="138"/>
      <c r="E834" s="138"/>
      <c r="L834" s="138"/>
      <c r="O834" s="138"/>
      <c r="R834" s="138"/>
      <c r="U834" s="138"/>
      <c r="X834" s="138"/>
    </row>
    <row r="835" spans="4:24" ht="12.75" customHeight="1" x14ac:dyDescent="0.25">
      <c r="D835" s="138"/>
      <c r="E835" s="138"/>
      <c r="L835" s="138"/>
      <c r="O835" s="138"/>
      <c r="R835" s="138"/>
      <c r="U835" s="138"/>
      <c r="X835" s="138"/>
    </row>
    <row r="836" spans="4:24" ht="12.75" customHeight="1" x14ac:dyDescent="0.25">
      <c r="D836" s="138"/>
      <c r="E836" s="138"/>
      <c r="L836" s="138"/>
      <c r="O836" s="138"/>
      <c r="R836" s="138"/>
      <c r="U836" s="138"/>
      <c r="X836" s="138"/>
    </row>
    <row r="837" spans="4:24" ht="12.75" customHeight="1" x14ac:dyDescent="0.25">
      <c r="D837" s="138"/>
      <c r="E837" s="138"/>
      <c r="L837" s="138"/>
      <c r="O837" s="138"/>
      <c r="R837" s="138"/>
      <c r="U837" s="138"/>
      <c r="X837" s="138"/>
    </row>
    <row r="838" spans="4:24" ht="12.75" customHeight="1" x14ac:dyDescent="0.25">
      <c r="D838" s="138"/>
      <c r="E838" s="138"/>
      <c r="L838" s="138"/>
      <c r="O838" s="138"/>
      <c r="R838" s="138"/>
      <c r="U838" s="138"/>
      <c r="X838" s="138"/>
    </row>
    <row r="839" spans="4:24" ht="12.75" customHeight="1" x14ac:dyDescent="0.25">
      <c r="D839" s="138"/>
      <c r="E839" s="138"/>
      <c r="L839" s="138"/>
      <c r="O839" s="138"/>
      <c r="R839" s="138"/>
      <c r="U839" s="138"/>
      <c r="X839" s="138"/>
    </row>
    <row r="840" spans="4:24" ht="12.75" customHeight="1" x14ac:dyDescent="0.25">
      <c r="D840" s="138"/>
      <c r="E840" s="138"/>
      <c r="L840" s="138"/>
      <c r="O840" s="138"/>
      <c r="R840" s="138"/>
      <c r="U840" s="138"/>
      <c r="X840" s="138"/>
    </row>
    <row r="841" spans="4:24" ht="12.75" customHeight="1" x14ac:dyDescent="0.25">
      <c r="D841" s="138"/>
      <c r="E841" s="138"/>
      <c r="L841" s="138"/>
      <c r="O841" s="138"/>
      <c r="R841" s="138"/>
      <c r="U841" s="138"/>
      <c r="X841" s="138"/>
    </row>
    <row r="842" spans="4:24" ht="12.75" customHeight="1" x14ac:dyDescent="0.25">
      <c r="D842" s="138"/>
      <c r="E842" s="138"/>
      <c r="L842" s="138"/>
      <c r="O842" s="138"/>
      <c r="R842" s="138"/>
      <c r="U842" s="138"/>
      <c r="X842" s="138"/>
    </row>
    <row r="843" spans="4:24" ht="12.75" customHeight="1" x14ac:dyDescent="0.25">
      <c r="D843" s="138"/>
      <c r="E843" s="138"/>
      <c r="L843" s="138"/>
      <c r="O843" s="138"/>
      <c r="R843" s="138"/>
      <c r="U843" s="138"/>
      <c r="X843" s="138"/>
    </row>
    <row r="844" spans="4:24" ht="12.75" customHeight="1" x14ac:dyDescent="0.25">
      <c r="D844" s="138"/>
      <c r="E844" s="138"/>
      <c r="L844" s="138"/>
      <c r="O844" s="138"/>
      <c r="R844" s="138"/>
      <c r="U844" s="138"/>
      <c r="X844" s="138"/>
    </row>
    <row r="845" spans="4:24" ht="12.75" customHeight="1" x14ac:dyDescent="0.25">
      <c r="D845" s="138"/>
      <c r="E845" s="138"/>
      <c r="L845" s="138"/>
      <c r="O845" s="138"/>
      <c r="R845" s="138"/>
      <c r="U845" s="138"/>
      <c r="X845" s="138"/>
    </row>
    <row r="846" spans="4:24" ht="12.75" customHeight="1" x14ac:dyDescent="0.25">
      <c r="D846" s="138"/>
      <c r="E846" s="138"/>
      <c r="L846" s="138"/>
      <c r="O846" s="138"/>
      <c r="R846" s="138"/>
      <c r="U846" s="138"/>
      <c r="X846" s="138"/>
    </row>
    <row r="847" spans="4:24" ht="12.75" customHeight="1" x14ac:dyDescent="0.25">
      <c r="D847" s="138"/>
      <c r="E847" s="138"/>
      <c r="L847" s="138"/>
      <c r="O847" s="138"/>
      <c r="R847" s="138"/>
      <c r="U847" s="138"/>
      <c r="X847" s="138"/>
    </row>
    <row r="848" spans="4:24" ht="12.75" customHeight="1" x14ac:dyDescent="0.25">
      <c r="D848" s="138"/>
      <c r="E848" s="138"/>
      <c r="L848" s="138"/>
      <c r="O848" s="138"/>
      <c r="R848" s="138"/>
      <c r="U848" s="138"/>
      <c r="X848" s="138"/>
    </row>
    <row r="849" spans="4:24" ht="12.75" customHeight="1" x14ac:dyDescent="0.25">
      <c r="D849" s="138"/>
      <c r="E849" s="138"/>
      <c r="L849" s="138"/>
      <c r="O849" s="138"/>
      <c r="R849" s="138"/>
      <c r="U849" s="138"/>
      <c r="X849" s="138"/>
    </row>
    <row r="850" spans="4:24" ht="12.75" customHeight="1" x14ac:dyDescent="0.25">
      <c r="D850" s="138"/>
      <c r="E850" s="138"/>
      <c r="L850" s="138"/>
      <c r="O850" s="138"/>
      <c r="R850" s="138"/>
      <c r="U850" s="138"/>
      <c r="X850" s="138"/>
    </row>
    <row r="851" spans="4:24" ht="12.75" customHeight="1" x14ac:dyDescent="0.25">
      <c r="D851" s="138"/>
      <c r="E851" s="138"/>
      <c r="L851" s="138"/>
      <c r="O851" s="138"/>
      <c r="R851" s="138"/>
      <c r="U851" s="138"/>
      <c r="X851" s="138"/>
    </row>
    <row r="852" spans="4:24" ht="12.75" customHeight="1" x14ac:dyDescent="0.25">
      <c r="D852" s="138"/>
      <c r="E852" s="138"/>
      <c r="L852" s="138"/>
      <c r="O852" s="138"/>
      <c r="R852" s="138"/>
      <c r="U852" s="138"/>
      <c r="X852" s="138"/>
    </row>
    <row r="853" spans="4:24" ht="12.75" customHeight="1" x14ac:dyDescent="0.25">
      <c r="D853" s="138"/>
      <c r="E853" s="138"/>
      <c r="L853" s="138"/>
      <c r="O853" s="138"/>
      <c r="R853" s="138"/>
      <c r="U853" s="138"/>
      <c r="X853" s="138"/>
    </row>
    <row r="854" spans="4:24" ht="12.75" customHeight="1" x14ac:dyDescent="0.25">
      <c r="D854" s="138"/>
      <c r="E854" s="138"/>
      <c r="L854" s="138"/>
      <c r="O854" s="138"/>
      <c r="R854" s="138"/>
      <c r="U854" s="138"/>
      <c r="X854" s="138"/>
    </row>
    <row r="855" spans="4:24" ht="12.75" customHeight="1" x14ac:dyDescent="0.25">
      <c r="D855" s="138"/>
      <c r="E855" s="138"/>
      <c r="L855" s="138"/>
      <c r="O855" s="138"/>
      <c r="R855" s="138"/>
      <c r="U855" s="138"/>
      <c r="X855" s="138"/>
    </row>
    <row r="856" spans="4:24" ht="12.75" customHeight="1" x14ac:dyDescent="0.25">
      <c r="D856" s="138"/>
      <c r="E856" s="138"/>
      <c r="L856" s="138"/>
      <c r="O856" s="138"/>
      <c r="R856" s="138"/>
      <c r="U856" s="138"/>
      <c r="X856" s="138"/>
    </row>
    <row r="857" spans="4:24" ht="12.75" customHeight="1" x14ac:dyDescent="0.25">
      <c r="D857" s="138"/>
      <c r="E857" s="138"/>
      <c r="L857" s="138"/>
      <c r="O857" s="138"/>
      <c r="R857" s="138"/>
      <c r="U857" s="138"/>
      <c r="X857" s="138"/>
    </row>
    <row r="858" spans="4:24" ht="12.75" customHeight="1" x14ac:dyDescent="0.25">
      <c r="D858" s="138"/>
      <c r="E858" s="138"/>
      <c r="L858" s="138"/>
      <c r="O858" s="138"/>
      <c r="R858" s="138"/>
      <c r="U858" s="138"/>
      <c r="X858" s="138"/>
    </row>
    <row r="859" spans="4:24" ht="12.75" customHeight="1" x14ac:dyDescent="0.25">
      <c r="D859" s="138"/>
      <c r="E859" s="138"/>
      <c r="L859" s="138"/>
      <c r="O859" s="138"/>
      <c r="R859" s="138"/>
      <c r="U859" s="138"/>
      <c r="X859" s="138"/>
    </row>
    <row r="860" spans="4:24" ht="12.75" customHeight="1" x14ac:dyDescent="0.25">
      <c r="D860" s="138"/>
      <c r="E860" s="138"/>
      <c r="L860" s="138"/>
      <c r="O860" s="138"/>
      <c r="R860" s="138"/>
      <c r="U860" s="138"/>
      <c r="X860" s="138"/>
    </row>
    <row r="861" spans="4:24" ht="12.75" customHeight="1" x14ac:dyDescent="0.25">
      <c r="D861" s="138"/>
      <c r="E861" s="138"/>
      <c r="L861" s="138"/>
      <c r="O861" s="138"/>
      <c r="R861" s="138"/>
      <c r="U861" s="138"/>
      <c r="X861" s="138"/>
    </row>
    <row r="862" spans="4:24" ht="12.75" customHeight="1" x14ac:dyDescent="0.25">
      <c r="D862" s="138"/>
      <c r="E862" s="138"/>
      <c r="L862" s="138"/>
      <c r="O862" s="138"/>
      <c r="R862" s="138"/>
      <c r="U862" s="138"/>
      <c r="X862" s="138"/>
    </row>
    <row r="863" spans="4:24" ht="12.75" customHeight="1" x14ac:dyDescent="0.25">
      <c r="D863" s="138"/>
      <c r="E863" s="138"/>
      <c r="L863" s="138"/>
      <c r="O863" s="138"/>
      <c r="R863" s="138"/>
      <c r="U863" s="138"/>
      <c r="X863" s="138"/>
    </row>
    <row r="864" spans="4:24" ht="12.75" customHeight="1" x14ac:dyDescent="0.25">
      <c r="D864" s="138"/>
      <c r="E864" s="138"/>
      <c r="L864" s="138"/>
      <c r="O864" s="138"/>
      <c r="R864" s="138"/>
      <c r="U864" s="138"/>
      <c r="X864" s="138"/>
    </row>
    <row r="865" spans="4:24" ht="12.75" customHeight="1" x14ac:dyDescent="0.25">
      <c r="D865" s="138"/>
      <c r="E865" s="138"/>
      <c r="L865" s="138"/>
      <c r="O865" s="138"/>
      <c r="R865" s="138"/>
      <c r="U865" s="138"/>
      <c r="X865" s="138"/>
    </row>
    <row r="866" spans="4:24" ht="12.75" customHeight="1" x14ac:dyDescent="0.25">
      <c r="D866" s="138"/>
      <c r="E866" s="138"/>
      <c r="L866" s="138"/>
      <c r="O866" s="138"/>
      <c r="R866" s="138"/>
      <c r="U866" s="138"/>
      <c r="X866" s="138"/>
    </row>
    <row r="867" spans="4:24" ht="12.75" customHeight="1" x14ac:dyDescent="0.25">
      <c r="D867" s="138"/>
      <c r="E867" s="138"/>
      <c r="L867" s="138"/>
      <c r="O867" s="138"/>
      <c r="R867" s="138"/>
      <c r="U867" s="138"/>
      <c r="X867" s="138"/>
    </row>
    <row r="868" spans="4:24" ht="12.75" customHeight="1" x14ac:dyDescent="0.25">
      <c r="D868" s="138"/>
      <c r="E868" s="138"/>
      <c r="L868" s="138"/>
      <c r="O868" s="138"/>
      <c r="R868" s="138"/>
      <c r="U868" s="138"/>
      <c r="X868" s="138"/>
    </row>
    <row r="869" spans="4:24" ht="12.75" customHeight="1" x14ac:dyDescent="0.25">
      <c r="D869" s="138"/>
      <c r="E869" s="138"/>
      <c r="L869" s="138"/>
      <c r="O869" s="138"/>
      <c r="R869" s="138"/>
      <c r="U869" s="138"/>
      <c r="X869" s="138"/>
    </row>
    <row r="870" spans="4:24" ht="12.75" customHeight="1" x14ac:dyDescent="0.25">
      <c r="D870" s="138"/>
      <c r="E870" s="138"/>
      <c r="L870" s="138"/>
      <c r="O870" s="138"/>
      <c r="R870" s="138"/>
      <c r="U870" s="138"/>
      <c r="X870" s="138"/>
    </row>
    <row r="871" spans="4:24" ht="12.75" customHeight="1" x14ac:dyDescent="0.25">
      <c r="D871" s="138"/>
      <c r="E871" s="138"/>
      <c r="L871" s="138"/>
      <c r="O871" s="138"/>
      <c r="R871" s="138"/>
      <c r="U871" s="138"/>
      <c r="X871" s="138"/>
    </row>
    <row r="872" spans="4:24" ht="12.75" customHeight="1" x14ac:dyDescent="0.25">
      <c r="D872" s="138"/>
      <c r="E872" s="138"/>
      <c r="L872" s="138"/>
      <c r="O872" s="138"/>
      <c r="R872" s="138"/>
      <c r="U872" s="138"/>
      <c r="X872" s="138"/>
    </row>
    <row r="873" spans="4:24" ht="12.75" customHeight="1" x14ac:dyDescent="0.25">
      <c r="D873" s="138"/>
      <c r="E873" s="138"/>
      <c r="L873" s="138"/>
      <c r="O873" s="138"/>
      <c r="R873" s="138"/>
      <c r="U873" s="138"/>
      <c r="X873" s="138"/>
    </row>
    <row r="874" spans="4:24" ht="12.75" customHeight="1" x14ac:dyDescent="0.25">
      <c r="D874" s="138"/>
      <c r="E874" s="138"/>
      <c r="L874" s="138"/>
      <c r="O874" s="138"/>
      <c r="R874" s="138"/>
      <c r="U874" s="138"/>
      <c r="X874" s="138"/>
    </row>
    <row r="875" spans="4:24" ht="12.75" customHeight="1" x14ac:dyDescent="0.25">
      <c r="D875" s="138"/>
      <c r="E875" s="138"/>
      <c r="L875" s="138"/>
      <c r="O875" s="138"/>
      <c r="R875" s="138"/>
      <c r="U875" s="138"/>
      <c r="X875" s="138"/>
    </row>
    <row r="876" spans="4:24" ht="12.75" customHeight="1" x14ac:dyDescent="0.25">
      <c r="D876" s="138"/>
      <c r="E876" s="138"/>
      <c r="L876" s="138"/>
      <c r="O876" s="138"/>
      <c r="R876" s="138"/>
      <c r="U876" s="138"/>
      <c r="X876" s="138"/>
    </row>
    <row r="877" spans="4:24" ht="12.75" customHeight="1" x14ac:dyDescent="0.25">
      <c r="D877" s="138"/>
      <c r="E877" s="138"/>
      <c r="L877" s="138"/>
      <c r="O877" s="138"/>
      <c r="R877" s="138"/>
      <c r="U877" s="138"/>
      <c r="X877" s="138"/>
    </row>
    <row r="878" spans="4:24" ht="12.75" customHeight="1" x14ac:dyDescent="0.25">
      <c r="D878" s="138"/>
      <c r="E878" s="138"/>
      <c r="L878" s="138"/>
      <c r="O878" s="138"/>
      <c r="R878" s="138"/>
      <c r="U878" s="138"/>
      <c r="X878" s="138"/>
    </row>
    <row r="879" spans="4:24" ht="12.75" customHeight="1" x14ac:dyDescent="0.25">
      <c r="D879" s="138"/>
      <c r="E879" s="138"/>
      <c r="L879" s="138"/>
      <c r="O879" s="138"/>
      <c r="R879" s="138"/>
      <c r="U879" s="138"/>
      <c r="X879" s="138"/>
    </row>
    <row r="880" spans="4:24" ht="12.75" customHeight="1" x14ac:dyDescent="0.25">
      <c r="D880" s="138"/>
      <c r="E880" s="138"/>
      <c r="L880" s="138"/>
      <c r="O880" s="138"/>
      <c r="R880" s="138"/>
      <c r="U880" s="138"/>
      <c r="X880" s="138"/>
    </row>
    <row r="881" spans="4:24" ht="12.75" customHeight="1" x14ac:dyDescent="0.25">
      <c r="D881" s="138"/>
      <c r="E881" s="138"/>
      <c r="L881" s="138"/>
      <c r="O881" s="138"/>
      <c r="R881" s="138"/>
      <c r="U881" s="138"/>
      <c r="X881" s="138"/>
    </row>
    <row r="882" spans="4:24" ht="12.75" customHeight="1" x14ac:dyDescent="0.25">
      <c r="D882" s="138"/>
      <c r="E882" s="138"/>
      <c r="L882" s="138"/>
      <c r="O882" s="138"/>
      <c r="R882" s="138"/>
      <c r="U882" s="138"/>
      <c r="X882" s="138"/>
    </row>
    <row r="883" spans="4:24" ht="12.75" customHeight="1" x14ac:dyDescent="0.25">
      <c r="D883" s="138"/>
      <c r="E883" s="138"/>
      <c r="L883" s="138"/>
      <c r="O883" s="138"/>
      <c r="R883" s="138"/>
      <c r="U883" s="138"/>
      <c r="X883" s="138"/>
    </row>
    <row r="884" spans="4:24" ht="12.75" customHeight="1" x14ac:dyDescent="0.25">
      <c r="D884" s="138"/>
      <c r="E884" s="138"/>
      <c r="L884" s="138"/>
      <c r="O884" s="138"/>
      <c r="R884" s="138"/>
      <c r="U884" s="138"/>
      <c r="X884" s="138"/>
    </row>
    <row r="885" spans="4:24" ht="12.75" customHeight="1" x14ac:dyDescent="0.25">
      <c r="D885" s="138"/>
      <c r="E885" s="138"/>
      <c r="L885" s="138"/>
      <c r="O885" s="138"/>
      <c r="R885" s="138"/>
      <c r="U885" s="138"/>
      <c r="X885" s="138"/>
    </row>
    <row r="886" spans="4:24" ht="12.75" customHeight="1" x14ac:dyDescent="0.25">
      <c r="D886" s="138"/>
      <c r="E886" s="138"/>
      <c r="L886" s="138"/>
      <c r="O886" s="138"/>
      <c r="R886" s="138"/>
      <c r="U886" s="138"/>
      <c r="X886" s="138"/>
    </row>
    <row r="887" spans="4:24" ht="12.75" customHeight="1" x14ac:dyDescent="0.25">
      <c r="D887" s="138"/>
      <c r="E887" s="138"/>
      <c r="L887" s="138"/>
      <c r="O887" s="138"/>
      <c r="R887" s="138"/>
      <c r="U887" s="138"/>
      <c r="X887" s="138"/>
    </row>
    <row r="888" spans="4:24" ht="12.75" customHeight="1" x14ac:dyDescent="0.25">
      <c r="D888" s="138"/>
      <c r="E888" s="138"/>
      <c r="L888" s="138"/>
      <c r="O888" s="138"/>
      <c r="R888" s="138"/>
      <c r="U888" s="138"/>
      <c r="X888" s="138"/>
    </row>
    <row r="889" spans="4:24" ht="12.75" customHeight="1" x14ac:dyDescent="0.25">
      <c r="D889" s="138"/>
      <c r="E889" s="138"/>
      <c r="L889" s="138"/>
      <c r="O889" s="138"/>
      <c r="R889" s="138"/>
      <c r="U889" s="138"/>
      <c r="X889" s="138"/>
    </row>
    <row r="890" spans="4:24" ht="12.75" customHeight="1" x14ac:dyDescent="0.25">
      <c r="D890" s="138"/>
      <c r="E890" s="138"/>
      <c r="L890" s="138"/>
      <c r="O890" s="138"/>
      <c r="R890" s="138"/>
      <c r="U890" s="138"/>
      <c r="X890" s="138"/>
    </row>
    <row r="891" spans="4:24" ht="12.75" customHeight="1" x14ac:dyDescent="0.25">
      <c r="D891" s="138"/>
      <c r="E891" s="138"/>
      <c r="L891" s="138"/>
      <c r="O891" s="138"/>
      <c r="R891" s="138"/>
      <c r="U891" s="138"/>
      <c r="X891" s="138"/>
    </row>
    <row r="892" spans="4:24" ht="12.75" customHeight="1" x14ac:dyDescent="0.25">
      <c r="D892" s="138"/>
      <c r="E892" s="138"/>
      <c r="L892" s="138"/>
      <c r="O892" s="138"/>
      <c r="R892" s="138"/>
      <c r="U892" s="138"/>
      <c r="X892" s="138"/>
    </row>
    <row r="893" spans="4:24" ht="12.75" customHeight="1" x14ac:dyDescent="0.25">
      <c r="D893" s="138"/>
      <c r="E893" s="138"/>
      <c r="L893" s="138"/>
      <c r="O893" s="138"/>
      <c r="R893" s="138"/>
      <c r="U893" s="138"/>
      <c r="X893" s="138"/>
    </row>
    <row r="894" spans="4:24" ht="12.75" customHeight="1" x14ac:dyDescent="0.25">
      <c r="D894" s="138"/>
      <c r="E894" s="138"/>
      <c r="L894" s="138"/>
      <c r="O894" s="138"/>
      <c r="R894" s="138"/>
      <c r="U894" s="138"/>
      <c r="X894" s="138"/>
    </row>
    <row r="895" spans="4:24" ht="12.75" customHeight="1" x14ac:dyDescent="0.25">
      <c r="D895" s="138"/>
      <c r="E895" s="138"/>
      <c r="L895" s="138"/>
      <c r="O895" s="138"/>
      <c r="R895" s="138"/>
      <c r="U895" s="138"/>
      <c r="X895" s="138"/>
    </row>
    <row r="896" spans="4:24" ht="12.75" customHeight="1" x14ac:dyDescent="0.25">
      <c r="D896" s="138"/>
      <c r="E896" s="138"/>
      <c r="L896" s="138"/>
      <c r="O896" s="138"/>
      <c r="R896" s="138"/>
      <c r="U896" s="138"/>
      <c r="X896" s="138"/>
    </row>
    <row r="897" spans="4:24" ht="12.75" customHeight="1" x14ac:dyDescent="0.25">
      <c r="D897" s="138"/>
      <c r="E897" s="138"/>
      <c r="L897" s="138"/>
      <c r="O897" s="138"/>
      <c r="R897" s="138"/>
      <c r="U897" s="138"/>
      <c r="X897" s="138"/>
    </row>
    <row r="898" spans="4:24" ht="12.75" customHeight="1" x14ac:dyDescent="0.25">
      <c r="D898" s="138"/>
      <c r="E898" s="138"/>
      <c r="L898" s="138"/>
      <c r="O898" s="138"/>
      <c r="R898" s="138"/>
      <c r="U898" s="138"/>
      <c r="X898" s="138"/>
    </row>
    <row r="899" spans="4:24" ht="12.75" customHeight="1" x14ac:dyDescent="0.25">
      <c r="D899" s="138"/>
      <c r="E899" s="138"/>
      <c r="L899" s="138"/>
      <c r="O899" s="138"/>
      <c r="R899" s="138"/>
      <c r="U899" s="138"/>
      <c r="X899" s="138"/>
    </row>
    <row r="900" spans="4:24" ht="12.75" customHeight="1" x14ac:dyDescent="0.25">
      <c r="D900" s="138"/>
      <c r="E900" s="138"/>
      <c r="L900" s="138"/>
      <c r="O900" s="138"/>
      <c r="R900" s="138"/>
      <c r="U900" s="138"/>
      <c r="X900" s="138"/>
    </row>
    <row r="901" spans="4:24" ht="12.75" customHeight="1" x14ac:dyDescent="0.25">
      <c r="D901" s="138"/>
      <c r="E901" s="138"/>
      <c r="L901" s="138"/>
      <c r="O901" s="138"/>
      <c r="R901" s="138"/>
      <c r="U901" s="138"/>
      <c r="X901" s="138"/>
    </row>
    <row r="902" spans="4:24" ht="12.75" customHeight="1" x14ac:dyDescent="0.25">
      <c r="D902" s="138"/>
      <c r="E902" s="138"/>
      <c r="L902" s="138"/>
      <c r="O902" s="138"/>
      <c r="R902" s="138"/>
      <c r="U902" s="138"/>
      <c r="X902" s="138"/>
    </row>
    <row r="903" spans="4:24" ht="12.75" customHeight="1" x14ac:dyDescent="0.25">
      <c r="D903" s="138"/>
      <c r="E903" s="138"/>
      <c r="L903" s="138"/>
      <c r="O903" s="138"/>
      <c r="R903" s="138"/>
      <c r="U903" s="138"/>
      <c r="X903" s="138"/>
    </row>
    <row r="904" spans="4:24" ht="12.75" customHeight="1" x14ac:dyDescent="0.25">
      <c r="D904" s="138"/>
      <c r="E904" s="138"/>
      <c r="L904" s="138"/>
      <c r="O904" s="138"/>
      <c r="R904" s="138"/>
      <c r="U904" s="138"/>
      <c r="X904" s="138"/>
    </row>
    <row r="905" spans="4:24" ht="12.75" customHeight="1" x14ac:dyDescent="0.25">
      <c r="D905" s="138"/>
      <c r="E905" s="138"/>
      <c r="L905" s="138"/>
      <c r="O905" s="138"/>
      <c r="R905" s="138"/>
      <c r="U905" s="138"/>
      <c r="X905" s="138"/>
    </row>
    <row r="906" spans="4:24" ht="12.75" customHeight="1" x14ac:dyDescent="0.25">
      <c r="D906" s="138"/>
      <c r="E906" s="138"/>
      <c r="L906" s="138"/>
      <c r="O906" s="138"/>
      <c r="R906" s="138"/>
      <c r="U906" s="138"/>
      <c r="X906" s="138"/>
    </row>
    <row r="907" spans="4:24" ht="12.75" customHeight="1" x14ac:dyDescent="0.25">
      <c r="D907" s="138"/>
      <c r="E907" s="138"/>
      <c r="L907" s="138"/>
      <c r="O907" s="138"/>
      <c r="R907" s="138"/>
      <c r="U907" s="138"/>
      <c r="X907" s="138"/>
    </row>
    <row r="908" spans="4:24" ht="12.75" customHeight="1" x14ac:dyDescent="0.25">
      <c r="D908" s="138"/>
      <c r="E908" s="138"/>
      <c r="L908" s="138"/>
      <c r="O908" s="138"/>
      <c r="R908" s="138"/>
      <c r="U908" s="138"/>
      <c r="X908" s="138"/>
    </row>
    <row r="909" spans="4:24" ht="12.75" customHeight="1" x14ac:dyDescent="0.25">
      <c r="D909" s="138"/>
      <c r="E909" s="138"/>
      <c r="L909" s="138"/>
      <c r="O909" s="138"/>
      <c r="R909" s="138"/>
      <c r="U909" s="138"/>
      <c r="X909" s="138"/>
    </row>
    <row r="910" spans="4:24" ht="12.75" customHeight="1" x14ac:dyDescent="0.25">
      <c r="D910" s="138"/>
      <c r="E910" s="138"/>
      <c r="L910" s="138"/>
      <c r="O910" s="138"/>
      <c r="R910" s="138"/>
      <c r="U910" s="138"/>
      <c r="X910" s="138"/>
    </row>
    <row r="911" spans="4:24" ht="12.75" customHeight="1" x14ac:dyDescent="0.25">
      <c r="D911" s="138"/>
      <c r="E911" s="138"/>
      <c r="L911" s="138"/>
      <c r="O911" s="138"/>
      <c r="R911" s="138"/>
      <c r="U911" s="138"/>
      <c r="X911" s="138"/>
    </row>
    <row r="912" spans="4:24" ht="12.75" customHeight="1" x14ac:dyDescent="0.25">
      <c r="D912" s="138"/>
      <c r="E912" s="138"/>
      <c r="L912" s="138"/>
      <c r="O912" s="138"/>
      <c r="R912" s="138"/>
      <c r="U912" s="138"/>
      <c r="X912" s="138"/>
    </row>
    <row r="913" spans="4:24" ht="12.75" customHeight="1" x14ac:dyDescent="0.25">
      <c r="D913" s="138"/>
      <c r="E913" s="138"/>
      <c r="L913" s="138"/>
      <c r="O913" s="138"/>
      <c r="R913" s="138"/>
      <c r="U913" s="138"/>
      <c r="X913" s="138"/>
    </row>
    <row r="914" spans="4:24" ht="12.75" customHeight="1" x14ac:dyDescent="0.25">
      <c r="D914" s="138"/>
      <c r="E914" s="138"/>
      <c r="L914" s="138"/>
      <c r="O914" s="138"/>
      <c r="R914" s="138"/>
      <c r="U914" s="138"/>
      <c r="X914" s="138"/>
    </row>
    <row r="915" spans="4:24" ht="12.75" customHeight="1" x14ac:dyDescent="0.25">
      <c r="D915" s="138"/>
      <c r="E915" s="138"/>
      <c r="L915" s="138"/>
      <c r="O915" s="138"/>
      <c r="R915" s="138"/>
      <c r="U915" s="138"/>
      <c r="X915" s="138"/>
    </row>
    <row r="916" spans="4:24" ht="12.75" customHeight="1" x14ac:dyDescent="0.25">
      <c r="D916" s="138"/>
      <c r="E916" s="138"/>
      <c r="L916" s="138"/>
      <c r="O916" s="138"/>
      <c r="R916" s="138"/>
      <c r="U916" s="138"/>
      <c r="X916" s="138"/>
    </row>
    <row r="917" spans="4:24" ht="12.75" customHeight="1" x14ac:dyDescent="0.25">
      <c r="D917" s="138"/>
      <c r="E917" s="138"/>
      <c r="L917" s="138"/>
      <c r="O917" s="138"/>
      <c r="R917" s="138"/>
      <c r="U917" s="138"/>
      <c r="X917" s="138"/>
    </row>
    <row r="918" spans="4:24" ht="12.75" customHeight="1" x14ac:dyDescent="0.25">
      <c r="D918" s="138"/>
      <c r="E918" s="138"/>
      <c r="L918" s="138"/>
      <c r="O918" s="138"/>
      <c r="R918" s="138"/>
      <c r="U918" s="138"/>
      <c r="X918" s="138"/>
    </row>
    <row r="919" spans="4:24" ht="12.75" customHeight="1" x14ac:dyDescent="0.25">
      <c r="D919" s="138"/>
      <c r="E919" s="138"/>
      <c r="L919" s="138"/>
      <c r="O919" s="138"/>
      <c r="R919" s="138"/>
      <c r="U919" s="138"/>
      <c r="X919" s="138"/>
    </row>
    <row r="920" spans="4:24" ht="12.75" customHeight="1" x14ac:dyDescent="0.25">
      <c r="D920" s="138"/>
      <c r="E920" s="138"/>
      <c r="L920" s="138"/>
      <c r="O920" s="138"/>
      <c r="R920" s="138"/>
      <c r="U920" s="138"/>
      <c r="X920" s="138"/>
    </row>
    <row r="921" spans="4:24" ht="12.75" customHeight="1" x14ac:dyDescent="0.25">
      <c r="D921" s="138"/>
      <c r="E921" s="138"/>
      <c r="L921" s="138"/>
      <c r="O921" s="138"/>
      <c r="R921" s="138"/>
      <c r="U921" s="138"/>
      <c r="X921" s="138"/>
    </row>
    <row r="922" spans="4:24" ht="12.75" customHeight="1" x14ac:dyDescent="0.25">
      <c r="D922" s="138"/>
      <c r="E922" s="138"/>
      <c r="L922" s="138"/>
      <c r="O922" s="138"/>
      <c r="R922" s="138"/>
      <c r="U922" s="138"/>
      <c r="X922" s="138"/>
    </row>
    <row r="923" spans="4:24" ht="12.75" customHeight="1" x14ac:dyDescent="0.25">
      <c r="D923" s="138"/>
      <c r="E923" s="138"/>
      <c r="L923" s="138"/>
      <c r="O923" s="138"/>
      <c r="R923" s="138"/>
      <c r="U923" s="138"/>
      <c r="X923" s="138"/>
    </row>
    <row r="924" spans="4:24" ht="12.75" customHeight="1" x14ac:dyDescent="0.25">
      <c r="D924" s="138"/>
      <c r="E924" s="138"/>
      <c r="L924" s="138"/>
      <c r="O924" s="138"/>
      <c r="R924" s="138"/>
      <c r="U924" s="138"/>
      <c r="X924" s="138"/>
    </row>
    <row r="925" spans="4:24" ht="12.75" customHeight="1" x14ac:dyDescent="0.25">
      <c r="D925" s="138"/>
      <c r="E925" s="138"/>
      <c r="L925" s="138"/>
      <c r="O925" s="138"/>
      <c r="R925" s="138"/>
      <c r="U925" s="138"/>
      <c r="X925" s="138"/>
    </row>
    <row r="926" spans="4:24" ht="12.75" customHeight="1" x14ac:dyDescent="0.25">
      <c r="D926" s="138"/>
      <c r="E926" s="138"/>
      <c r="L926" s="138"/>
      <c r="O926" s="138"/>
      <c r="R926" s="138"/>
      <c r="U926" s="138"/>
      <c r="X926" s="138"/>
    </row>
    <row r="927" spans="4:24" ht="12.75" customHeight="1" x14ac:dyDescent="0.25">
      <c r="D927" s="138"/>
      <c r="E927" s="138"/>
      <c r="L927" s="138"/>
      <c r="O927" s="138"/>
      <c r="R927" s="138"/>
      <c r="U927" s="138"/>
      <c r="X927" s="138"/>
    </row>
    <row r="928" spans="4:24" ht="12.75" customHeight="1" x14ac:dyDescent="0.25">
      <c r="D928" s="138"/>
      <c r="E928" s="138"/>
      <c r="L928" s="138"/>
      <c r="O928" s="138"/>
      <c r="R928" s="138"/>
      <c r="U928" s="138"/>
      <c r="X928" s="138"/>
    </row>
    <row r="929" spans="4:24" ht="12.75" customHeight="1" x14ac:dyDescent="0.25">
      <c r="D929" s="138"/>
      <c r="E929" s="138"/>
      <c r="L929" s="138"/>
      <c r="O929" s="138"/>
      <c r="R929" s="138"/>
      <c r="U929" s="138"/>
      <c r="X929" s="138"/>
    </row>
    <row r="930" spans="4:24" ht="12.75" customHeight="1" x14ac:dyDescent="0.25">
      <c r="D930" s="138"/>
      <c r="E930" s="138"/>
      <c r="L930" s="138"/>
      <c r="O930" s="138"/>
      <c r="R930" s="138"/>
      <c r="U930" s="138"/>
      <c r="X930" s="138"/>
    </row>
    <row r="931" spans="4:24" ht="12.75" customHeight="1" x14ac:dyDescent="0.25">
      <c r="D931" s="138"/>
      <c r="E931" s="138"/>
      <c r="L931" s="138"/>
      <c r="O931" s="138"/>
      <c r="R931" s="138"/>
      <c r="U931" s="138"/>
      <c r="X931" s="138"/>
    </row>
    <row r="932" spans="4:24" ht="12.75" customHeight="1" x14ac:dyDescent="0.25">
      <c r="D932" s="138"/>
      <c r="E932" s="138"/>
      <c r="L932" s="138"/>
      <c r="O932" s="138"/>
      <c r="R932" s="138"/>
      <c r="U932" s="138"/>
      <c r="X932" s="138"/>
    </row>
    <row r="933" spans="4:24" ht="12.75" customHeight="1" x14ac:dyDescent="0.25">
      <c r="D933" s="138"/>
      <c r="E933" s="138"/>
      <c r="L933" s="138"/>
      <c r="O933" s="138"/>
      <c r="R933" s="138"/>
      <c r="U933" s="138"/>
      <c r="X933" s="138"/>
    </row>
    <row r="934" spans="4:24" ht="12.75" customHeight="1" x14ac:dyDescent="0.25">
      <c r="D934" s="138"/>
      <c r="E934" s="138"/>
      <c r="L934" s="138"/>
      <c r="O934" s="138"/>
      <c r="R934" s="138"/>
      <c r="U934" s="138"/>
      <c r="X934" s="138"/>
    </row>
    <row r="935" spans="4:24" ht="12.75" customHeight="1" x14ac:dyDescent="0.25">
      <c r="D935" s="138"/>
      <c r="E935" s="138"/>
      <c r="L935" s="138"/>
      <c r="O935" s="138"/>
      <c r="R935" s="138"/>
      <c r="U935" s="138"/>
      <c r="X935" s="138"/>
    </row>
    <row r="936" spans="4:24" ht="12.75" customHeight="1" x14ac:dyDescent="0.25">
      <c r="D936" s="138"/>
      <c r="E936" s="138"/>
      <c r="L936" s="138"/>
      <c r="O936" s="138"/>
      <c r="R936" s="138"/>
      <c r="U936" s="138"/>
      <c r="X936" s="138"/>
    </row>
    <row r="937" spans="4:24" ht="12.75" customHeight="1" x14ac:dyDescent="0.25">
      <c r="D937" s="138"/>
      <c r="E937" s="138"/>
      <c r="L937" s="138"/>
      <c r="O937" s="138"/>
      <c r="R937" s="138"/>
      <c r="U937" s="138"/>
      <c r="X937" s="138"/>
    </row>
    <row r="938" spans="4:24" ht="12.75" customHeight="1" x14ac:dyDescent="0.25">
      <c r="D938" s="138"/>
      <c r="E938" s="138"/>
      <c r="L938" s="138"/>
      <c r="O938" s="138"/>
      <c r="R938" s="138"/>
      <c r="U938" s="138"/>
      <c r="X938" s="138"/>
    </row>
    <row r="939" spans="4:24" ht="12.75" customHeight="1" x14ac:dyDescent="0.25">
      <c r="D939" s="138"/>
      <c r="E939" s="138"/>
      <c r="L939" s="138"/>
      <c r="O939" s="138"/>
      <c r="R939" s="138"/>
      <c r="U939" s="138"/>
      <c r="X939" s="138"/>
    </row>
    <row r="940" spans="4:24" ht="12.75" customHeight="1" x14ac:dyDescent="0.25">
      <c r="D940" s="138"/>
      <c r="E940" s="138"/>
      <c r="L940" s="138"/>
      <c r="O940" s="138"/>
      <c r="R940" s="138"/>
      <c r="U940" s="138"/>
      <c r="X940" s="138"/>
    </row>
    <row r="941" spans="4:24" ht="12.75" customHeight="1" x14ac:dyDescent="0.25">
      <c r="D941" s="138"/>
      <c r="E941" s="138"/>
      <c r="L941" s="138"/>
      <c r="O941" s="138"/>
      <c r="R941" s="138"/>
      <c r="U941" s="138"/>
      <c r="X941" s="138"/>
    </row>
    <row r="942" spans="4:24" ht="12.75" customHeight="1" x14ac:dyDescent="0.25">
      <c r="D942" s="138"/>
      <c r="E942" s="138"/>
      <c r="L942" s="138"/>
      <c r="O942" s="138"/>
      <c r="R942" s="138"/>
      <c r="U942" s="138"/>
      <c r="X942" s="138"/>
    </row>
    <row r="943" spans="4:24" ht="12.75" customHeight="1" x14ac:dyDescent="0.25">
      <c r="D943" s="138"/>
      <c r="E943" s="138"/>
      <c r="L943" s="138"/>
      <c r="O943" s="138"/>
      <c r="R943" s="138"/>
      <c r="U943" s="138"/>
      <c r="X943" s="138"/>
    </row>
    <row r="944" spans="4:24" ht="12.75" customHeight="1" x14ac:dyDescent="0.25">
      <c r="D944" s="138"/>
      <c r="E944" s="138"/>
      <c r="L944" s="138"/>
      <c r="O944" s="138"/>
      <c r="R944" s="138"/>
      <c r="U944" s="138"/>
      <c r="X944" s="138"/>
    </row>
    <row r="945" spans="4:24" ht="12.75" customHeight="1" x14ac:dyDescent="0.25">
      <c r="D945" s="138"/>
      <c r="E945" s="138"/>
      <c r="L945" s="138"/>
      <c r="O945" s="138"/>
      <c r="R945" s="138"/>
      <c r="U945" s="138"/>
      <c r="X945" s="138"/>
    </row>
    <row r="946" spans="4:24" ht="12.75" customHeight="1" x14ac:dyDescent="0.25">
      <c r="D946" s="138"/>
      <c r="E946" s="138"/>
      <c r="L946" s="138"/>
      <c r="O946" s="138"/>
      <c r="R946" s="138"/>
      <c r="U946" s="138"/>
      <c r="X946" s="138"/>
    </row>
    <row r="947" spans="4:24" ht="12.75" customHeight="1" x14ac:dyDescent="0.25">
      <c r="D947" s="138"/>
      <c r="E947" s="138"/>
      <c r="L947" s="138"/>
      <c r="O947" s="138"/>
      <c r="R947" s="138"/>
      <c r="U947" s="138"/>
      <c r="X947" s="138"/>
    </row>
    <row r="948" spans="4:24" ht="12.75" customHeight="1" x14ac:dyDescent="0.25">
      <c r="D948" s="138"/>
      <c r="E948" s="138"/>
      <c r="L948" s="138"/>
      <c r="O948" s="138"/>
      <c r="R948" s="138"/>
      <c r="U948" s="138"/>
      <c r="X948" s="138"/>
    </row>
    <row r="949" spans="4:24" ht="12.75" customHeight="1" x14ac:dyDescent="0.25">
      <c r="D949" s="138"/>
      <c r="E949" s="138"/>
      <c r="L949" s="138"/>
      <c r="O949" s="138"/>
      <c r="R949" s="138"/>
      <c r="U949" s="138"/>
      <c r="X949" s="138"/>
    </row>
    <row r="950" spans="4:24" ht="12.75" customHeight="1" x14ac:dyDescent="0.25">
      <c r="D950" s="138"/>
      <c r="E950" s="138"/>
      <c r="L950" s="138"/>
      <c r="O950" s="138"/>
      <c r="R950" s="138"/>
      <c r="U950" s="138"/>
      <c r="X950" s="138"/>
    </row>
    <row r="951" spans="4:24" ht="12.75" customHeight="1" x14ac:dyDescent="0.25">
      <c r="D951" s="138"/>
      <c r="E951" s="138"/>
      <c r="L951" s="138"/>
      <c r="O951" s="138"/>
      <c r="R951" s="138"/>
      <c r="U951" s="138"/>
      <c r="X951" s="138"/>
    </row>
    <row r="952" spans="4:24" ht="12.75" customHeight="1" x14ac:dyDescent="0.25">
      <c r="D952" s="138"/>
      <c r="E952" s="138"/>
      <c r="L952" s="138"/>
      <c r="O952" s="138"/>
      <c r="R952" s="138"/>
      <c r="U952" s="138"/>
      <c r="X952" s="138"/>
    </row>
    <row r="953" spans="4:24" ht="12.75" customHeight="1" x14ac:dyDescent="0.25">
      <c r="D953" s="138"/>
      <c r="E953" s="138"/>
      <c r="L953" s="138"/>
      <c r="O953" s="138"/>
      <c r="R953" s="138"/>
      <c r="U953" s="138"/>
      <c r="X953" s="138"/>
    </row>
    <row r="954" spans="4:24" ht="12.75" customHeight="1" x14ac:dyDescent="0.25">
      <c r="D954" s="138"/>
      <c r="E954" s="138"/>
      <c r="L954" s="138"/>
      <c r="O954" s="138"/>
      <c r="R954" s="138"/>
      <c r="U954" s="138"/>
      <c r="X954" s="138"/>
    </row>
    <row r="955" spans="4:24" ht="12.75" customHeight="1" x14ac:dyDescent="0.25">
      <c r="D955" s="138"/>
      <c r="E955" s="138"/>
      <c r="L955" s="138"/>
      <c r="O955" s="138"/>
      <c r="R955" s="138"/>
      <c r="U955" s="138"/>
      <c r="X955" s="138"/>
    </row>
    <row r="956" spans="4:24" ht="12.75" customHeight="1" x14ac:dyDescent="0.25">
      <c r="D956" s="138"/>
      <c r="E956" s="138"/>
      <c r="L956" s="138"/>
      <c r="O956" s="138"/>
      <c r="R956" s="138"/>
      <c r="U956" s="138"/>
      <c r="X956" s="138"/>
    </row>
    <row r="957" spans="4:24" ht="12.75" customHeight="1" x14ac:dyDescent="0.25">
      <c r="D957" s="138"/>
      <c r="E957" s="138"/>
      <c r="L957" s="138"/>
      <c r="O957" s="138"/>
      <c r="R957" s="138"/>
      <c r="U957" s="138"/>
      <c r="X957" s="138"/>
    </row>
    <row r="958" spans="4:24" ht="12.75" customHeight="1" x14ac:dyDescent="0.25">
      <c r="D958" s="138"/>
      <c r="E958" s="138"/>
      <c r="L958" s="138"/>
      <c r="O958" s="138"/>
      <c r="R958" s="138"/>
      <c r="U958" s="138"/>
      <c r="X958" s="138"/>
    </row>
    <row r="959" spans="4:24" ht="12.75" customHeight="1" x14ac:dyDescent="0.25">
      <c r="D959" s="138"/>
      <c r="E959" s="138"/>
      <c r="L959" s="138"/>
      <c r="O959" s="138"/>
      <c r="R959" s="138"/>
      <c r="U959" s="138"/>
      <c r="X959" s="138"/>
    </row>
    <row r="960" spans="4:24" ht="12.75" customHeight="1" x14ac:dyDescent="0.25">
      <c r="D960" s="138"/>
      <c r="E960" s="138"/>
      <c r="L960" s="138"/>
      <c r="O960" s="138"/>
      <c r="R960" s="138"/>
      <c r="U960" s="138"/>
      <c r="X960" s="138"/>
    </row>
    <row r="961" spans="4:24" ht="12.75" customHeight="1" x14ac:dyDescent="0.25">
      <c r="D961" s="138"/>
      <c r="E961" s="138"/>
      <c r="L961" s="138"/>
      <c r="O961" s="138"/>
      <c r="R961" s="138"/>
      <c r="U961" s="138"/>
      <c r="X961" s="138"/>
    </row>
    <row r="962" spans="4:24" ht="12.75" customHeight="1" x14ac:dyDescent="0.25">
      <c r="D962" s="138"/>
      <c r="E962" s="138"/>
      <c r="L962" s="138"/>
      <c r="O962" s="138"/>
      <c r="R962" s="138"/>
      <c r="U962" s="138"/>
      <c r="X962" s="138"/>
    </row>
    <row r="963" spans="4:24" ht="12.75" customHeight="1" x14ac:dyDescent="0.25">
      <c r="D963" s="138"/>
      <c r="E963" s="138"/>
      <c r="L963" s="138"/>
      <c r="O963" s="138"/>
      <c r="R963" s="138"/>
      <c r="U963" s="138"/>
      <c r="X963" s="138"/>
    </row>
    <row r="964" spans="4:24" ht="12.75" customHeight="1" x14ac:dyDescent="0.25">
      <c r="D964" s="138"/>
      <c r="E964" s="138"/>
      <c r="L964" s="138"/>
      <c r="O964" s="138"/>
      <c r="R964" s="138"/>
      <c r="U964" s="138"/>
      <c r="X964" s="138"/>
    </row>
    <row r="965" spans="4:24" ht="12.75" customHeight="1" x14ac:dyDescent="0.25">
      <c r="D965" s="138"/>
      <c r="E965" s="138"/>
      <c r="L965" s="138"/>
      <c r="O965" s="138"/>
      <c r="R965" s="138"/>
      <c r="U965" s="138"/>
      <c r="X965" s="138"/>
    </row>
    <row r="966" spans="4:24" ht="12.75" customHeight="1" x14ac:dyDescent="0.25">
      <c r="D966" s="138"/>
      <c r="E966" s="138"/>
      <c r="L966" s="138"/>
      <c r="O966" s="138"/>
      <c r="R966" s="138"/>
      <c r="U966" s="138"/>
      <c r="X966" s="138"/>
    </row>
    <row r="967" spans="4:24" ht="12.75" customHeight="1" x14ac:dyDescent="0.25">
      <c r="D967" s="138"/>
      <c r="E967" s="138"/>
      <c r="L967" s="138"/>
      <c r="O967" s="138"/>
      <c r="R967" s="138"/>
      <c r="U967" s="138"/>
      <c r="X967" s="138"/>
    </row>
    <row r="968" spans="4:24" ht="12.75" customHeight="1" x14ac:dyDescent="0.25">
      <c r="D968" s="138"/>
      <c r="E968" s="138"/>
      <c r="L968" s="138"/>
      <c r="O968" s="138"/>
      <c r="R968" s="138"/>
      <c r="U968" s="138"/>
      <c r="X968" s="138"/>
    </row>
    <row r="969" spans="4:24" ht="12.75" customHeight="1" x14ac:dyDescent="0.25">
      <c r="D969" s="138"/>
      <c r="E969" s="138"/>
      <c r="L969" s="138"/>
      <c r="O969" s="138"/>
      <c r="R969" s="138"/>
      <c r="U969" s="138"/>
      <c r="X969" s="138"/>
    </row>
    <row r="970" spans="4:24" ht="12.75" customHeight="1" x14ac:dyDescent="0.25">
      <c r="D970" s="138"/>
      <c r="E970" s="138"/>
      <c r="L970" s="138"/>
      <c r="O970" s="138"/>
      <c r="R970" s="138"/>
      <c r="U970" s="138"/>
      <c r="X970" s="138"/>
    </row>
    <row r="971" spans="4:24" ht="12.75" customHeight="1" x14ac:dyDescent="0.25">
      <c r="D971" s="138"/>
      <c r="E971" s="138"/>
      <c r="L971" s="138"/>
      <c r="O971" s="138"/>
      <c r="R971" s="138"/>
      <c r="U971" s="138"/>
      <c r="X971" s="138"/>
    </row>
    <row r="972" spans="4:24" ht="12.75" customHeight="1" x14ac:dyDescent="0.25">
      <c r="D972" s="138"/>
      <c r="E972" s="138"/>
      <c r="L972" s="138"/>
      <c r="O972" s="138"/>
      <c r="R972" s="138"/>
      <c r="U972" s="138"/>
      <c r="X972" s="138"/>
    </row>
    <row r="973" spans="4:24" ht="12.75" customHeight="1" x14ac:dyDescent="0.25">
      <c r="D973" s="138"/>
      <c r="E973" s="138"/>
      <c r="L973" s="138"/>
      <c r="O973" s="138"/>
      <c r="R973" s="138"/>
      <c r="U973" s="138"/>
      <c r="X973" s="138"/>
    </row>
    <row r="974" spans="4:24" ht="12.75" customHeight="1" x14ac:dyDescent="0.25">
      <c r="D974" s="138"/>
      <c r="E974" s="138"/>
      <c r="L974" s="138"/>
      <c r="O974" s="138"/>
      <c r="R974" s="138"/>
      <c r="U974" s="138"/>
      <c r="X974" s="138"/>
    </row>
    <row r="975" spans="4:24" ht="12.75" customHeight="1" x14ac:dyDescent="0.25">
      <c r="D975" s="138"/>
      <c r="E975" s="138"/>
      <c r="L975" s="138"/>
      <c r="O975" s="138"/>
      <c r="R975" s="138"/>
      <c r="U975" s="138"/>
      <c r="X975" s="138"/>
    </row>
    <row r="976" spans="4:24" ht="12.75" customHeight="1" x14ac:dyDescent="0.25">
      <c r="D976" s="138"/>
      <c r="E976" s="138"/>
      <c r="L976" s="138"/>
      <c r="O976" s="138"/>
      <c r="R976" s="138"/>
      <c r="U976" s="138"/>
      <c r="X976" s="138"/>
    </row>
    <row r="977" spans="4:24" ht="12.75" customHeight="1" x14ac:dyDescent="0.25">
      <c r="D977" s="138"/>
      <c r="E977" s="138"/>
      <c r="L977" s="138"/>
      <c r="O977" s="138"/>
      <c r="R977" s="138"/>
      <c r="U977" s="138"/>
      <c r="X977" s="138"/>
    </row>
    <row r="978" spans="4:24" ht="12.75" customHeight="1" x14ac:dyDescent="0.25">
      <c r="D978" s="138"/>
      <c r="E978" s="138"/>
      <c r="L978" s="138"/>
      <c r="O978" s="138"/>
      <c r="R978" s="138"/>
      <c r="U978" s="138"/>
      <c r="X978" s="138"/>
    </row>
    <row r="979" spans="4:24" ht="12.75" customHeight="1" x14ac:dyDescent="0.25">
      <c r="D979" s="138"/>
      <c r="E979" s="138"/>
      <c r="L979" s="138"/>
      <c r="O979" s="138"/>
      <c r="R979" s="138"/>
      <c r="U979" s="138"/>
      <c r="X979" s="138"/>
    </row>
    <row r="980" spans="4:24" ht="12.75" customHeight="1" x14ac:dyDescent="0.25">
      <c r="D980" s="138"/>
      <c r="E980" s="138"/>
      <c r="L980" s="138"/>
      <c r="O980" s="138"/>
      <c r="R980" s="138"/>
      <c r="U980" s="138"/>
      <c r="X980" s="138"/>
    </row>
    <row r="981" spans="4:24" ht="12.75" customHeight="1" x14ac:dyDescent="0.25">
      <c r="D981" s="138"/>
      <c r="E981" s="138"/>
      <c r="L981" s="138"/>
      <c r="O981" s="138"/>
      <c r="R981" s="138"/>
      <c r="U981" s="138"/>
      <c r="X981" s="138"/>
    </row>
    <row r="982" spans="4:24" ht="12.75" customHeight="1" x14ac:dyDescent="0.25">
      <c r="D982" s="138"/>
      <c r="E982" s="138"/>
      <c r="L982" s="138"/>
      <c r="O982" s="138"/>
      <c r="R982" s="138"/>
      <c r="U982" s="138"/>
      <c r="X982" s="138"/>
    </row>
    <row r="983" spans="4:24" ht="12.75" customHeight="1" x14ac:dyDescent="0.25">
      <c r="D983" s="138"/>
      <c r="E983" s="138"/>
      <c r="L983" s="138"/>
      <c r="O983" s="138"/>
      <c r="R983" s="138"/>
      <c r="U983" s="138"/>
      <c r="X983" s="138"/>
    </row>
    <row r="984" spans="4:24" ht="12.75" customHeight="1" x14ac:dyDescent="0.25">
      <c r="D984" s="138"/>
      <c r="E984" s="138"/>
      <c r="L984" s="138"/>
      <c r="O984" s="138"/>
      <c r="R984" s="138"/>
      <c r="U984" s="138"/>
      <c r="X984" s="138"/>
    </row>
    <row r="985" spans="4:24" ht="12.75" customHeight="1" x14ac:dyDescent="0.25">
      <c r="D985" s="138"/>
      <c r="E985" s="138"/>
      <c r="L985" s="138"/>
      <c r="O985" s="138"/>
      <c r="R985" s="138"/>
      <c r="U985" s="138"/>
      <c r="X985" s="138"/>
    </row>
    <row r="986" spans="4:24" ht="12.75" customHeight="1" x14ac:dyDescent="0.25">
      <c r="D986" s="138"/>
      <c r="E986" s="138"/>
      <c r="L986" s="138"/>
      <c r="O986" s="138"/>
      <c r="R986" s="138"/>
      <c r="U986" s="138"/>
      <c r="X986" s="138"/>
    </row>
    <row r="987" spans="4:24" ht="12.75" customHeight="1" x14ac:dyDescent="0.25">
      <c r="D987" s="138"/>
      <c r="E987" s="138"/>
      <c r="L987" s="138"/>
      <c r="O987" s="138"/>
      <c r="R987" s="138"/>
      <c r="U987" s="138"/>
      <c r="X987" s="138"/>
    </row>
    <row r="988" spans="4:24" ht="12.75" customHeight="1" x14ac:dyDescent="0.25">
      <c r="D988" s="138"/>
      <c r="E988" s="138"/>
      <c r="L988" s="138"/>
      <c r="O988" s="138"/>
      <c r="R988" s="138"/>
      <c r="U988" s="138"/>
      <c r="X988" s="138"/>
    </row>
    <row r="989" spans="4:24" ht="12.75" customHeight="1" x14ac:dyDescent="0.25">
      <c r="D989" s="138"/>
      <c r="E989" s="138"/>
      <c r="L989" s="138"/>
      <c r="O989" s="138"/>
      <c r="R989" s="138"/>
      <c r="U989" s="138"/>
      <c r="X989" s="138"/>
    </row>
    <row r="990" spans="4:24" ht="12.75" customHeight="1" x14ac:dyDescent="0.25">
      <c r="D990" s="138"/>
      <c r="E990" s="138"/>
      <c r="L990" s="138"/>
      <c r="O990" s="138"/>
      <c r="R990" s="138"/>
      <c r="U990" s="138"/>
      <c r="X990" s="138"/>
    </row>
    <row r="991" spans="4:24" ht="12.75" customHeight="1" x14ac:dyDescent="0.25">
      <c r="D991" s="138"/>
      <c r="E991" s="138"/>
      <c r="L991" s="138"/>
      <c r="O991" s="138"/>
      <c r="R991" s="138"/>
      <c r="U991" s="138"/>
      <c r="X991" s="138"/>
    </row>
    <row r="992" spans="4:24" ht="12.75" customHeight="1" x14ac:dyDescent="0.25">
      <c r="D992" s="138"/>
      <c r="E992" s="138"/>
      <c r="L992" s="138"/>
      <c r="O992" s="138"/>
      <c r="R992" s="138"/>
      <c r="U992" s="138"/>
      <c r="X992" s="138"/>
    </row>
    <row r="993" spans="4:24" ht="12.75" customHeight="1" x14ac:dyDescent="0.25">
      <c r="D993" s="138"/>
      <c r="E993" s="138"/>
      <c r="L993" s="138"/>
      <c r="O993" s="138"/>
      <c r="R993" s="138"/>
      <c r="U993" s="138"/>
      <c r="X993" s="138"/>
    </row>
    <row r="994" spans="4:24" ht="12.75" customHeight="1" x14ac:dyDescent="0.25">
      <c r="D994" s="138"/>
      <c r="E994" s="138"/>
      <c r="L994" s="138"/>
      <c r="O994" s="138"/>
      <c r="R994" s="138"/>
      <c r="U994" s="138"/>
      <c r="X994" s="138"/>
    </row>
    <row r="995" spans="4:24" ht="12.75" customHeight="1" x14ac:dyDescent="0.25">
      <c r="D995" s="138"/>
      <c r="E995" s="138"/>
      <c r="L995" s="138"/>
      <c r="O995" s="138"/>
      <c r="R995" s="138"/>
      <c r="U995" s="138"/>
      <c r="X995" s="138"/>
    </row>
    <row r="996" spans="4:24" ht="12.75" customHeight="1" x14ac:dyDescent="0.25">
      <c r="D996" s="138"/>
      <c r="E996" s="138"/>
      <c r="L996" s="138"/>
      <c r="O996" s="138"/>
      <c r="R996" s="138"/>
      <c r="U996" s="138"/>
      <c r="X996" s="138"/>
    </row>
    <row r="997" spans="4:24" ht="12.75" customHeight="1" x14ac:dyDescent="0.25">
      <c r="D997" s="138"/>
      <c r="E997" s="138"/>
      <c r="L997" s="138"/>
      <c r="O997" s="138"/>
      <c r="R997" s="138"/>
      <c r="U997" s="138"/>
      <c r="X997" s="138"/>
    </row>
    <row r="998" spans="4:24" ht="12.75" customHeight="1" x14ac:dyDescent="0.25">
      <c r="D998" s="138"/>
      <c r="E998" s="138"/>
      <c r="L998" s="138"/>
      <c r="O998" s="138"/>
      <c r="R998" s="138"/>
      <c r="U998" s="138"/>
      <c r="X998" s="138"/>
    </row>
    <row r="999" spans="4:24" ht="12.75" customHeight="1" x14ac:dyDescent="0.25">
      <c r="D999" s="138"/>
      <c r="E999" s="138"/>
      <c r="L999" s="138"/>
      <c r="O999" s="138"/>
      <c r="R999" s="138"/>
      <c r="U999" s="138"/>
      <c r="X999" s="138"/>
    </row>
    <row r="1000" spans="4:24" ht="12.75" customHeight="1" x14ac:dyDescent="0.25">
      <c r="D1000" s="138"/>
      <c r="E1000" s="138"/>
      <c r="L1000" s="138"/>
      <c r="O1000" s="138"/>
      <c r="R1000" s="138"/>
      <c r="U1000" s="138"/>
      <c r="X1000" s="138"/>
    </row>
  </sheetData>
  <pageMargins left="0.7" right="0.7" top="0.75" bottom="0.75" header="0" footer="0"/>
  <pageSetup orientation="landscape"/>
  <headerFooter>
    <oddHeader>&amp;C&amp;F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21</vt:i4>
      </vt:variant>
    </vt:vector>
  </HeadingPairs>
  <TitlesOfParts>
    <vt:vector size="27" baseType="lpstr">
      <vt:lpstr>06</vt:lpstr>
      <vt:lpstr>S18</vt:lpstr>
      <vt:lpstr>S19</vt:lpstr>
      <vt:lpstr>S20</vt:lpstr>
      <vt:lpstr>S21</vt:lpstr>
      <vt:lpstr>S22</vt:lpstr>
      <vt:lpstr>'06'!Excel_BuiltIn_Print_Titles</vt:lpstr>
      <vt:lpstr>'S18'!Excel_BuiltIn_Print_Titles</vt:lpstr>
      <vt:lpstr>'S19'!Excel_BuiltIn_Print_Titles</vt:lpstr>
      <vt:lpstr>'S20'!Excel_BuiltIn_Print_Titles</vt:lpstr>
      <vt:lpstr>'S21'!Excel_BuiltIn_Print_Titles</vt:lpstr>
      <vt:lpstr>'S22'!Excel_BuiltIn_Print_Titles</vt:lpstr>
      <vt:lpstr>'S18'!Z_FE530F02_55E0_49BE_9F9F_EDB536772B6D__wvu_Cols</vt:lpstr>
      <vt:lpstr>'S19'!Z_FE530F02_55E0_49BE_9F9F_EDB536772B6D__wvu_Cols</vt:lpstr>
      <vt:lpstr>'S20'!Z_FE530F02_55E0_49BE_9F9F_EDB536772B6D__wvu_Cols</vt:lpstr>
      <vt:lpstr>'S21'!Z_FE530F02_55E0_49BE_9F9F_EDB536772B6D__wvu_Cols</vt:lpstr>
      <vt:lpstr>'S22'!Z_FE530F02_55E0_49BE_9F9F_EDB536772B6D__wvu_Cols</vt:lpstr>
      <vt:lpstr>'06'!Z_FE530F02_55E0_49BE_9F9F_EDB536772B6D__wvu_PrintTitles</vt:lpstr>
      <vt:lpstr>'S18'!Z_FE530F02_55E0_49BE_9F9F_EDB536772B6D__wvu_PrintTitles</vt:lpstr>
      <vt:lpstr>'S19'!Z_FE530F02_55E0_49BE_9F9F_EDB536772B6D__wvu_PrintTitles</vt:lpstr>
      <vt:lpstr>'S20'!Z_FE530F02_55E0_49BE_9F9F_EDB536772B6D__wvu_PrintTitles</vt:lpstr>
      <vt:lpstr>'S21'!Z_FE530F02_55E0_49BE_9F9F_EDB536772B6D__wvu_PrintTitles</vt:lpstr>
      <vt:lpstr>'S22'!Z_FE530F02_55E0_49BE_9F9F_EDB536772B6D__wvu_PrintTitles</vt:lpstr>
      <vt:lpstr>'S18'!Z_FE530F02_55E0_49BE_9F9F_EDB536772B6D__wvu_Rows</vt:lpstr>
      <vt:lpstr>'S19'!Z_FE530F02_55E0_49BE_9F9F_EDB536772B6D__wvu_Rows</vt:lpstr>
      <vt:lpstr>'S20'!Z_FE530F02_55E0_49BE_9F9F_EDB536772B6D__wvu_Rows</vt:lpstr>
      <vt:lpstr>'S21'!Z_FE530F02_55E0_49BE_9F9F_EDB536772B6D__wvu_Rows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Marcial</dc:creator>
  <cp:lastModifiedBy>Nelson Escobar</cp:lastModifiedBy>
  <dcterms:created xsi:type="dcterms:W3CDTF">2021-06-10T13:59:34Z</dcterms:created>
  <dcterms:modified xsi:type="dcterms:W3CDTF">2025-10-26T19:11:46Z</dcterms:modified>
</cp:coreProperties>
</file>