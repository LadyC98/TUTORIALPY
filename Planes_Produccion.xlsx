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2A71916E-9E3E-4540-ABEA-287037783845}" xr6:coauthVersionLast="47" xr6:coauthVersionMax="47" xr10:uidLastSave="{00000000-0000-0000-0000-000000000000}"/>
  <bookViews>
    <workbookView xWindow="12" yWindow="720" windowWidth="23028" windowHeight="12240" xr2:uid="{00000000-000D-0000-FFFF-FFFF00000000}"/>
  </bookViews>
  <sheets>
    <sheet name="Datos" sheetId="1" r:id="rId1"/>
    <sheet name="Plan 1" sheetId="2" r:id="rId2"/>
    <sheet name="Plan 2" sheetId="3" r:id="rId3"/>
    <sheet name="Plan 3" sheetId="4" r:id="rId4"/>
    <sheet name="Plan 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/1a029duOACd+TIzYRQzB+YD5jrBwIKBWpHYem+0b7U="/>
    </ext>
  </extLst>
</workbook>
</file>

<file path=xl/calcChain.xml><?xml version="1.0" encoding="utf-8"?>
<calcChain xmlns="http://schemas.openxmlformats.org/spreadsheetml/2006/main">
  <c r="G7" i="5" l="1"/>
  <c r="F7" i="5"/>
  <c r="E7" i="5"/>
  <c r="D7" i="5"/>
  <c r="C7" i="5"/>
  <c r="B7" i="5"/>
  <c r="G4" i="5"/>
  <c r="F4" i="5"/>
  <c r="E4" i="5"/>
  <c r="D4" i="5"/>
  <c r="C4" i="5"/>
  <c r="B4" i="5"/>
  <c r="B3" i="5"/>
  <c r="F6" i="4"/>
  <c r="D6" i="4"/>
  <c r="F5" i="4"/>
  <c r="F9" i="4" s="1"/>
  <c r="D5" i="4"/>
  <c r="D9" i="4" s="1"/>
  <c r="B5" i="4"/>
  <c r="B6" i="4" s="1"/>
  <c r="G4" i="4"/>
  <c r="G5" i="4" s="1"/>
  <c r="F4" i="4"/>
  <c r="E4" i="4"/>
  <c r="E5" i="4" s="1"/>
  <c r="D4" i="4"/>
  <c r="C4" i="4"/>
  <c r="C5" i="4" s="1"/>
  <c r="B4" i="4"/>
  <c r="E7" i="3"/>
  <c r="D7" i="3"/>
  <c r="G4" i="3"/>
  <c r="F4" i="3"/>
  <c r="E4" i="3"/>
  <c r="D4" i="3"/>
  <c r="C4" i="3"/>
  <c r="B4" i="3"/>
  <c r="C6" i="2"/>
  <c r="G5" i="2"/>
  <c r="G6" i="2" s="1"/>
  <c r="F5" i="2"/>
  <c r="F6" i="2" s="1"/>
  <c r="E5" i="2"/>
  <c r="E6" i="2" s="1"/>
  <c r="D5" i="2"/>
  <c r="D6" i="2" s="1"/>
  <c r="C5" i="2"/>
  <c r="B5" i="2"/>
  <c r="B6" i="2" s="1"/>
  <c r="G27" i="1"/>
  <c r="G10" i="3" s="1"/>
  <c r="B27" i="1"/>
  <c r="B11" i="5" s="1"/>
  <c r="G26" i="1"/>
  <c r="F26" i="1"/>
  <c r="F27" i="1" s="1"/>
  <c r="E26" i="1"/>
  <c r="E27" i="1" s="1"/>
  <c r="D26" i="1"/>
  <c r="D27" i="1" s="1"/>
  <c r="C26" i="1"/>
  <c r="C7" i="3" s="1"/>
  <c r="B26" i="1"/>
  <c r="B7" i="3" s="1"/>
  <c r="B25" i="1"/>
  <c r="B3" i="3" s="1"/>
  <c r="H5" i="1"/>
  <c r="H4" i="1"/>
  <c r="B18" i="5" s="1"/>
  <c r="C9" i="4" l="1"/>
  <c r="C6" i="4"/>
  <c r="E9" i="4"/>
  <c r="E6" i="4"/>
  <c r="E5" i="3"/>
  <c r="E11" i="5"/>
  <c r="E10" i="3"/>
  <c r="F11" i="5"/>
  <c r="F10" i="3"/>
  <c r="G5" i="3"/>
  <c r="G9" i="4"/>
  <c r="G6" i="4"/>
  <c r="D10" i="3"/>
  <c r="D11" i="5"/>
  <c r="B5" i="5"/>
  <c r="F5" i="5"/>
  <c r="G5" i="5"/>
  <c r="E5" i="5"/>
  <c r="D5" i="5"/>
  <c r="C5" i="5"/>
  <c r="B10" i="3"/>
  <c r="G11" i="5"/>
  <c r="H26" i="1"/>
  <c r="B28" i="1"/>
  <c r="F7" i="3"/>
  <c r="B9" i="4"/>
  <c r="H9" i="4" s="1"/>
  <c r="C27" i="1"/>
  <c r="B16" i="3"/>
  <c r="C5" i="3" s="1"/>
  <c r="G7" i="3"/>
  <c r="C6" i="5" l="1"/>
  <c r="C14" i="5"/>
  <c r="E6" i="5"/>
  <c r="E14" i="5"/>
  <c r="E13" i="3"/>
  <c r="E6" i="3"/>
  <c r="B3" i="4"/>
  <c r="B7" i="4" s="1"/>
  <c r="B8" i="4" s="1"/>
  <c r="B3" i="2"/>
  <c r="B4" i="2" s="1"/>
  <c r="B29" i="1"/>
  <c r="G14" i="5"/>
  <c r="G6" i="5"/>
  <c r="G6" i="3"/>
  <c r="G13" i="3"/>
  <c r="F14" i="5"/>
  <c r="F6" i="5"/>
  <c r="B5" i="3"/>
  <c r="C11" i="5"/>
  <c r="H27" i="1"/>
  <c r="C10" i="3"/>
  <c r="D6" i="5"/>
  <c r="D14" i="5"/>
  <c r="B14" i="5"/>
  <c r="H14" i="5" s="1"/>
  <c r="B6" i="5"/>
  <c r="B8" i="5" s="1"/>
  <c r="D5" i="3"/>
  <c r="C13" i="3"/>
  <c r="C6" i="3"/>
  <c r="F5" i="3"/>
  <c r="D13" i="3" l="1"/>
  <c r="D6" i="3"/>
  <c r="C25" i="1"/>
  <c r="F13" i="3"/>
  <c r="F6" i="3"/>
  <c r="B9" i="5"/>
  <c r="B10" i="5" s="1"/>
  <c r="C3" i="5"/>
  <c r="C8" i="5" s="1"/>
  <c r="B12" i="5"/>
  <c r="B13" i="5" s="1"/>
  <c r="B6" i="3"/>
  <c r="B8" i="3" s="1"/>
  <c r="B13" i="3"/>
  <c r="H13" i="3" s="1"/>
  <c r="B12" i="2"/>
  <c r="B7" i="2"/>
  <c r="B8" i="2" s="1"/>
  <c r="B9" i="2" s="1"/>
  <c r="B11" i="3" l="1"/>
  <c r="B12" i="3" s="1"/>
  <c r="C3" i="3"/>
  <c r="C8" i="3" s="1"/>
  <c r="B9" i="3"/>
  <c r="C28" i="1"/>
  <c r="C12" i="5"/>
  <c r="C13" i="5" s="1"/>
  <c r="D3" i="5"/>
  <c r="D8" i="5" s="1"/>
  <c r="C9" i="5"/>
  <c r="C10" i="5" s="1"/>
  <c r="C3" i="4" l="1"/>
  <c r="C7" i="4" s="1"/>
  <c r="C8" i="4" s="1"/>
  <c r="C29" i="1"/>
  <c r="C3" i="2"/>
  <c r="C4" i="2" s="1"/>
  <c r="C9" i="3"/>
  <c r="C11" i="3"/>
  <c r="C12" i="3" s="1"/>
  <c r="D3" i="3"/>
  <c r="D8" i="3" s="1"/>
  <c r="E3" i="5"/>
  <c r="E8" i="5" s="1"/>
  <c r="D12" i="5"/>
  <c r="D13" i="5" s="1"/>
  <c r="D9" i="5"/>
  <c r="D10" i="5" s="1"/>
  <c r="C12" i="2" l="1"/>
  <c r="C7" i="2"/>
  <c r="D25" i="1"/>
  <c r="F3" i="5"/>
  <c r="F8" i="5" s="1"/>
  <c r="E12" i="5"/>
  <c r="E13" i="5" s="1"/>
  <c r="E9" i="5"/>
  <c r="E10" i="5" s="1"/>
  <c r="D9" i="3"/>
  <c r="D11" i="3"/>
  <c r="D12" i="3" s="1"/>
  <c r="E3" i="3"/>
  <c r="E8" i="3" s="1"/>
  <c r="E9" i="3" l="1"/>
  <c r="E11" i="3"/>
  <c r="E12" i="3" s="1"/>
  <c r="F3" i="3"/>
  <c r="F8" i="3" s="1"/>
  <c r="D28" i="1"/>
  <c r="F12" i="5"/>
  <c r="F13" i="5" s="1"/>
  <c r="F9" i="5"/>
  <c r="F10" i="5" s="1"/>
  <c r="G3" i="5"/>
  <c r="G8" i="5" s="1"/>
  <c r="C8" i="2"/>
  <c r="C9" i="2" s="1"/>
  <c r="C10" i="2"/>
  <c r="C11" i="2" s="1"/>
  <c r="F11" i="3" l="1"/>
  <c r="F12" i="3" s="1"/>
  <c r="F9" i="3"/>
  <c r="G3" i="3"/>
  <c r="G8" i="3" s="1"/>
  <c r="G12" i="5"/>
  <c r="G13" i="5" s="1"/>
  <c r="H13" i="5" s="1"/>
  <c r="G9" i="5"/>
  <c r="G10" i="5" s="1"/>
  <c r="H10" i="5" s="1"/>
  <c r="H15" i="5" s="1"/>
  <c r="D3" i="4"/>
  <c r="D7" i="4" s="1"/>
  <c r="D8" i="4" s="1"/>
  <c r="D29" i="1"/>
  <c r="D3" i="2"/>
  <c r="D4" i="2" s="1"/>
  <c r="G9" i="3" l="1"/>
  <c r="H9" i="3" s="1"/>
  <c r="G11" i="3"/>
  <c r="G12" i="3" s="1"/>
  <c r="H12" i="3" s="1"/>
  <c r="D7" i="2"/>
  <c r="D12" i="2"/>
  <c r="E25" i="1"/>
  <c r="E28" i="1" l="1"/>
  <c r="H14" i="3"/>
  <c r="D8" i="2"/>
  <c r="D9" i="2" s="1"/>
  <c r="D10" i="2"/>
  <c r="D11" i="2" s="1"/>
  <c r="E3" i="2" l="1"/>
  <c r="E4" i="2" s="1"/>
  <c r="E3" i="4"/>
  <c r="E29" i="1"/>
  <c r="F25" i="1" l="1"/>
  <c r="E7" i="4"/>
  <c r="E8" i="4" s="1"/>
  <c r="B12" i="4"/>
  <c r="E7" i="2"/>
  <c r="E12" i="2"/>
  <c r="E10" i="2" l="1"/>
  <c r="E11" i="2" s="1"/>
  <c r="E8" i="2"/>
  <c r="E9" i="2" s="1"/>
  <c r="F28" i="1"/>
  <c r="F29" i="1" l="1"/>
  <c r="F3" i="2"/>
  <c r="F4" i="2" s="1"/>
  <c r="F3" i="4"/>
  <c r="F7" i="4" s="1"/>
  <c r="F8" i="4" s="1"/>
  <c r="F7" i="2" l="1"/>
  <c r="F12" i="2"/>
  <c r="G25" i="1"/>
  <c r="G28" i="1" l="1"/>
  <c r="H25" i="1"/>
  <c r="F10" i="2"/>
  <c r="F11" i="2" s="1"/>
  <c r="F8" i="2"/>
  <c r="F9" i="2" s="1"/>
  <c r="G29" i="1" l="1"/>
  <c r="H29" i="1" s="1"/>
  <c r="G3" i="2"/>
  <c r="G4" i="2" s="1"/>
  <c r="G3" i="4"/>
  <c r="G7" i="4" s="1"/>
  <c r="G8" i="4" s="1"/>
  <c r="H8" i="4" s="1"/>
  <c r="H10" i="4" s="1"/>
  <c r="H28" i="1"/>
  <c r="G7" i="2" l="1"/>
  <c r="G12" i="2"/>
  <c r="H12" i="2" s="1"/>
  <c r="G10" i="2" l="1"/>
  <c r="G11" i="2" s="1"/>
  <c r="H11" i="2" s="1"/>
  <c r="G8" i="2"/>
  <c r="G9" i="2" s="1"/>
  <c r="H9" i="2" s="1"/>
  <c r="H13" i="2" s="1"/>
</calcChain>
</file>

<file path=xl/sharedStrings.xml><?xml version="1.0" encoding="utf-8"?>
<sst xmlns="http://schemas.openxmlformats.org/spreadsheetml/2006/main" count="133" uniqueCount="81">
  <si>
    <t>DEMANDA Y DIAS LABORABLES</t>
  </si>
  <si>
    <t>Enero</t>
  </si>
  <si>
    <t>Febrero</t>
  </si>
  <si>
    <t>Marzo</t>
  </si>
  <si>
    <t>Abril</t>
  </si>
  <si>
    <t>Mayo</t>
  </si>
  <si>
    <t>Junio</t>
  </si>
  <si>
    <t>Total</t>
  </si>
  <si>
    <t>Demanda prevista</t>
  </si>
  <si>
    <t>Dias laborables</t>
  </si>
  <si>
    <t>INVENTARIO</t>
  </si>
  <si>
    <t>Inventario Inicial</t>
  </si>
  <si>
    <t>unidades</t>
  </si>
  <si>
    <t>Stock de seguridad</t>
  </si>
  <si>
    <t>de la demanda actual</t>
  </si>
  <si>
    <t>COSTOS</t>
  </si>
  <si>
    <t>Materiales</t>
  </si>
  <si>
    <t>$</t>
  </si>
  <si>
    <t>Mantenimiento de Inventario</t>
  </si>
  <si>
    <t>$/unidad mes</t>
  </si>
  <si>
    <t>Rotura de Stock</t>
  </si>
  <si>
    <t>Subcontratación</t>
  </si>
  <si>
    <t>$/unidad</t>
  </si>
  <si>
    <t>Contratación y entrenamiento</t>
  </si>
  <si>
    <t>$/trabajador</t>
  </si>
  <si>
    <t>Despido</t>
  </si>
  <si>
    <t>Horas necesarias por unidad</t>
  </si>
  <si>
    <t>horas/unidad</t>
  </si>
  <si>
    <t>Mano de obra (primeras 8 hs)</t>
  </si>
  <si>
    <t>$/hora</t>
  </si>
  <si>
    <t>Horas extra</t>
  </si>
  <si>
    <t>Jornada laboral</t>
  </si>
  <si>
    <t>hs</t>
  </si>
  <si>
    <t>CALCULOS PRIMARIOS</t>
  </si>
  <si>
    <t>Debemos realizar este calculo siempre para los demas planes</t>
  </si>
  <si>
    <t>Producción requerida</t>
  </si>
  <si>
    <t>Inventario final</t>
  </si>
  <si>
    <t>Plan1: Producción Exacta, mano de obra variable</t>
  </si>
  <si>
    <t>a)Producción exacta</t>
  </si>
  <si>
    <t>cargar  la produccion requerida</t>
  </si>
  <si>
    <t>b)Horas de producción (a x hs/un)</t>
  </si>
  <si>
    <t>c)Días laborables por mes</t>
  </si>
  <si>
    <t>d)Horas por mes por trabajador (c x 8hs/día)</t>
  </si>
  <si>
    <t>e)Trabajadores necesarios (b/d)</t>
  </si>
  <si>
    <t>f)Nro de trabajadores contratados</t>
  </si>
  <si>
    <t>g)Costos de contratación</t>
  </si>
  <si>
    <t>h)Trabajadores despedidos</t>
  </si>
  <si>
    <t>i)Costo de despido</t>
  </si>
  <si>
    <t>j)Costo de mano de obra (b x    )</t>
  </si>
  <si>
    <t>COSTO TOTAL</t>
  </si>
  <si>
    <t>|</t>
  </si>
  <si>
    <t>Plan2: Mano de obra constante, inventario y rotura de stock variables</t>
  </si>
  <si>
    <t>a)Inventario inicial</t>
  </si>
  <si>
    <t>b) Días laborables por mes</t>
  </si>
  <si>
    <t>c)Horas de producción disponibles</t>
  </si>
  <si>
    <t>d)Producción actual</t>
  </si>
  <si>
    <t>e)Demanda prevista</t>
  </si>
  <si>
    <t>f)Inventario final (a +d-e)</t>
  </si>
  <si>
    <t>g)Costo de rotura de stock</t>
  </si>
  <si>
    <t>h)Stock de seguridad</t>
  </si>
  <si>
    <t>i)Unidades excedidas</t>
  </si>
  <si>
    <t>j)Costo de inventario</t>
  </si>
  <si>
    <t>k)Costo de tiempo normal</t>
  </si>
  <si>
    <t>Cant. De trabajadores (Total Unid*Hs/un)/(Total días*hs/día)</t>
  </si>
  <si>
    <t>Plan3: Fuerza de trabajo constante, subcontratar</t>
  </si>
  <si>
    <t>a)Producción requerida</t>
  </si>
  <si>
    <t>e)Unidades subcontratadas</t>
  </si>
  <si>
    <t>f)Coto de subcontratación</t>
  </si>
  <si>
    <t>g)Costo de tiempo normal</t>
  </si>
  <si>
    <t>Cant. De trabajadores (Mín prod req*hs/un)/(Días del mes*hs/día)</t>
  </si>
  <si>
    <t>Cant. De trabajadores (redondeado)</t>
  </si>
  <si>
    <t>(el Costo Total es menor con 25 que con 26)</t>
  </si>
  <si>
    <t>Plan 4: Fuerza laboral constante, horas extra</t>
  </si>
  <si>
    <t>d)Turno regular producción (prod.actual)</t>
  </si>
  <si>
    <t>f)Unidades disponibles antes de horas extras</t>
  </si>
  <si>
    <t>g)Unidades horas extras</t>
  </si>
  <si>
    <t>h) Costo de horas extras</t>
  </si>
  <si>
    <t>i) Stock de seguridad</t>
  </si>
  <si>
    <t>j) Unidades excedidas</t>
  </si>
  <si>
    <t>k) Costo de inventario</t>
  </si>
  <si>
    <t>l) Costo de tiempo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</si>
</sst>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FFE598"/>
        <bgColor rgb="FFFFE598"/>
      </patternFill>
    </fill>
    <fill>
      <patternFill patternType="solid">
        <fgColor rgb="FFCFAFE7"/>
        <bgColor rgb="FFCFAFE7"/>
      </patternFill>
    </fill>
    <fill>
      <patternFill patternType="solid">
        <fgColor rgb="FFFF8B8B"/>
        <bgColor rgb="FFFF8B8B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3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0" xfId="0" applyFont="1"/>
    <xf numFmtId="9" fontId="3" fillId="0" borderId="5" xfId="0" applyNumberFormat="1" applyFont="1" applyBorder="1" applyAlignment="1">
      <alignment vertical="center" wrapText="1"/>
    </xf>
    <xf numFmtId="0" fontId="4" fillId="0" borderId="0" xfId="0" applyFont="1" applyAlignment="1"/>
    <xf numFmtId="0" fontId="4" fillId="5" borderId="0" xfId="0" applyFont="1" applyFill="1" applyAlignment="1"/>
    <xf numFmtId="0" fontId="4" fillId="5" borderId="0" xfId="0" applyFont="1" applyFill="1"/>
    <xf numFmtId="1" fontId="3" fillId="0" borderId="5" xfId="0" applyNumberFormat="1" applyFont="1" applyBorder="1" applyAlignment="1">
      <alignment vertical="center" wrapText="1"/>
    </xf>
    <xf numFmtId="0" fontId="3" fillId="6" borderId="6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7" borderId="8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2" fontId="3" fillId="0" borderId="0" xfId="0" applyNumberFormat="1" applyFont="1"/>
    <xf numFmtId="0" fontId="6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0" xfId="0" applyFont="1" applyAlignment="1"/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/>
  </sheetViews>
  <sheetFormatPr baseColWidth="10" defaultColWidth="14.44140625" defaultRowHeight="15" customHeight="1" x14ac:dyDescent="0.3"/>
  <cols>
    <col min="1" max="1" width="29.33203125" customWidth="1"/>
    <col min="2" max="26" width="10.6640625" customWidth="1"/>
  </cols>
  <sheetData>
    <row r="1" spans="1:8" ht="14.25" customHeight="1" x14ac:dyDescent="0.3"/>
    <row r="2" spans="1:8" ht="14.25" customHeight="1" x14ac:dyDescent="0.3">
      <c r="A2" s="16" t="s">
        <v>0</v>
      </c>
      <c r="B2" s="17"/>
      <c r="C2" s="17"/>
      <c r="D2" s="17"/>
      <c r="E2" s="17"/>
      <c r="F2" s="17"/>
      <c r="G2" s="17"/>
      <c r="H2" s="18"/>
    </row>
    <row r="3" spans="1:8" ht="15" customHeight="1" x14ac:dyDescent="0.3">
      <c r="A3" s="1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ht="17.25" customHeight="1" x14ac:dyDescent="0.3">
      <c r="A4" s="1" t="s">
        <v>8</v>
      </c>
      <c r="B4" s="3">
        <v>1800</v>
      </c>
      <c r="C4" s="3">
        <v>1500</v>
      </c>
      <c r="D4" s="3">
        <v>1100</v>
      </c>
      <c r="E4" s="3">
        <v>900</v>
      </c>
      <c r="F4" s="3">
        <v>1100</v>
      </c>
      <c r="G4" s="3">
        <v>1600</v>
      </c>
      <c r="H4" s="2">
        <f t="shared" ref="H4:H5" si="0">SUM(B4:G4)</f>
        <v>8000</v>
      </c>
    </row>
    <row r="5" spans="1:8" ht="17.25" customHeight="1" x14ac:dyDescent="0.3">
      <c r="A5" s="1" t="s">
        <v>9</v>
      </c>
      <c r="B5" s="3">
        <v>22</v>
      </c>
      <c r="C5" s="3">
        <v>19</v>
      </c>
      <c r="D5" s="3">
        <v>21</v>
      </c>
      <c r="E5" s="3">
        <v>21</v>
      </c>
      <c r="F5" s="3">
        <v>22</v>
      </c>
      <c r="G5" s="3">
        <v>20</v>
      </c>
      <c r="H5" s="2">
        <f t="shared" si="0"/>
        <v>125</v>
      </c>
    </row>
    <row r="6" spans="1:8" ht="14.25" customHeight="1" x14ac:dyDescent="0.3"/>
    <row r="7" spans="1:8" ht="14.25" customHeight="1" x14ac:dyDescent="0.3">
      <c r="A7" s="16" t="s">
        <v>10</v>
      </c>
      <c r="B7" s="18"/>
    </row>
    <row r="8" spans="1:8" ht="14.25" customHeight="1" x14ac:dyDescent="0.3">
      <c r="A8" s="1" t="s">
        <v>11</v>
      </c>
      <c r="B8" s="3">
        <v>400</v>
      </c>
      <c r="C8" s="4" t="s">
        <v>12</v>
      </c>
    </row>
    <row r="9" spans="1:8" ht="14.25" customHeight="1" x14ac:dyDescent="0.3">
      <c r="A9" s="1" t="s">
        <v>13</v>
      </c>
      <c r="B9" s="5">
        <v>0.25</v>
      </c>
      <c r="C9" s="4" t="s">
        <v>14</v>
      </c>
    </row>
    <row r="10" spans="1:8" ht="14.25" customHeight="1" x14ac:dyDescent="0.3"/>
    <row r="11" spans="1:8" ht="14.25" customHeight="1" x14ac:dyDescent="0.3">
      <c r="A11" s="16" t="s">
        <v>15</v>
      </c>
      <c r="B11" s="18"/>
    </row>
    <row r="12" spans="1:8" ht="14.25" customHeight="1" x14ac:dyDescent="0.3">
      <c r="A12" s="1" t="s">
        <v>16</v>
      </c>
      <c r="B12" s="3">
        <v>100</v>
      </c>
      <c r="C12" s="4" t="s">
        <v>17</v>
      </c>
    </row>
    <row r="13" spans="1:8" ht="14.25" customHeight="1" x14ac:dyDescent="0.3">
      <c r="A13" s="1" t="s">
        <v>18</v>
      </c>
      <c r="B13" s="3">
        <v>1.5</v>
      </c>
      <c r="C13" s="4" t="s">
        <v>19</v>
      </c>
    </row>
    <row r="14" spans="1:8" ht="14.25" customHeight="1" x14ac:dyDescent="0.3">
      <c r="A14" s="1" t="s">
        <v>20</v>
      </c>
      <c r="B14" s="3">
        <v>5</v>
      </c>
      <c r="C14" s="4" t="s">
        <v>19</v>
      </c>
    </row>
    <row r="15" spans="1:8" ht="14.25" customHeight="1" x14ac:dyDescent="0.3">
      <c r="A15" s="1" t="s">
        <v>21</v>
      </c>
      <c r="B15" s="3">
        <v>20</v>
      </c>
      <c r="C15" s="4" t="s">
        <v>22</v>
      </c>
    </row>
    <row r="16" spans="1:8" ht="14.25" customHeight="1" x14ac:dyDescent="0.3">
      <c r="A16" s="1" t="s">
        <v>23</v>
      </c>
      <c r="B16" s="3">
        <v>200</v>
      </c>
      <c r="C16" s="4" t="s">
        <v>24</v>
      </c>
    </row>
    <row r="17" spans="1:9" ht="14.25" customHeight="1" x14ac:dyDescent="0.3">
      <c r="A17" s="1" t="s">
        <v>25</v>
      </c>
      <c r="B17" s="3">
        <v>250</v>
      </c>
      <c r="C17" s="4" t="s">
        <v>24</v>
      </c>
    </row>
    <row r="18" spans="1:9" ht="14.25" customHeight="1" x14ac:dyDescent="0.3">
      <c r="A18" s="1" t="s">
        <v>26</v>
      </c>
      <c r="B18" s="3">
        <v>5</v>
      </c>
      <c r="C18" s="4" t="s">
        <v>27</v>
      </c>
    </row>
    <row r="19" spans="1:9" ht="14.25" customHeight="1" x14ac:dyDescent="0.3">
      <c r="A19" s="1" t="s">
        <v>28</v>
      </c>
      <c r="B19" s="3">
        <v>4</v>
      </c>
      <c r="C19" s="4" t="s">
        <v>29</v>
      </c>
    </row>
    <row r="20" spans="1:9" ht="14.25" customHeight="1" x14ac:dyDescent="0.3">
      <c r="A20" s="1" t="s">
        <v>30</v>
      </c>
      <c r="B20" s="3">
        <v>6</v>
      </c>
      <c r="C20" s="4" t="s">
        <v>29</v>
      </c>
    </row>
    <row r="21" spans="1:9" ht="14.25" customHeight="1" x14ac:dyDescent="0.3">
      <c r="A21" s="1" t="s">
        <v>31</v>
      </c>
      <c r="B21" s="3">
        <v>8</v>
      </c>
      <c r="C21" s="4" t="s">
        <v>32</v>
      </c>
    </row>
    <row r="22" spans="1:9" ht="14.25" customHeight="1" x14ac:dyDescent="0.3"/>
    <row r="23" spans="1:9" ht="14.25" customHeight="1" x14ac:dyDescent="0.3">
      <c r="A23" s="19" t="s">
        <v>33</v>
      </c>
      <c r="B23" s="17"/>
      <c r="C23" s="17"/>
      <c r="D23" s="17"/>
      <c r="E23" s="17"/>
      <c r="F23" s="17"/>
      <c r="G23" s="17"/>
      <c r="H23" s="18"/>
    </row>
    <row r="24" spans="1:9" ht="14.25" customHeight="1" x14ac:dyDescent="0.3">
      <c r="A24" s="1"/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7</v>
      </c>
      <c r="I24" s="6" t="s">
        <v>34</v>
      </c>
    </row>
    <row r="25" spans="1:9" ht="14.25" customHeight="1" x14ac:dyDescent="0.3">
      <c r="A25" s="1" t="s">
        <v>11</v>
      </c>
      <c r="B25" s="3">
        <f>B8</f>
        <v>400</v>
      </c>
      <c r="C25" s="3">
        <f t="shared" ref="C25:G25" si="1">B29</f>
        <v>450</v>
      </c>
      <c r="D25" s="3">
        <f t="shared" si="1"/>
        <v>375</v>
      </c>
      <c r="E25" s="3">
        <f t="shared" si="1"/>
        <v>275</v>
      </c>
      <c r="F25" s="3">
        <f t="shared" si="1"/>
        <v>225</v>
      </c>
      <c r="G25" s="3">
        <f t="shared" si="1"/>
        <v>275</v>
      </c>
      <c r="H25" s="2">
        <f t="shared" ref="H25:H29" si="2">SUM(B25:G25)</f>
        <v>2000</v>
      </c>
    </row>
    <row r="26" spans="1:9" ht="14.25" customHeight="1" x14ac:dyDescent="0.3">
      <c r="A26" s="1" t="s">
        <v>8</v>
      </c>
      <c r="B26" s="3">
        <f t="shared" ref="B26:G26" si="3">B4</f>
        <v>1800</v>
      </c>
      <c r="C26" s="3">
        <f t="shared" si="3"/>
        <v>1500</v>
      </c>
      <c r="D26" s="3">
        <f t="shared" si="3"/>
        <v>1100</v>
      </c>
      <c r="E26" s="3">
        <f t="shared" si="3"/>
        <v>900</v>
      </c>
      <c r="F26" s="3">
        <f t="shared" si="3"/>
        <v>1100</v>
      </c>
      <c r="G26" s="3">
        <f t="shared" si="3"/>
        <v>1600</v>
      </c>
      <c r="H26" s="2">
        <f t="shared" si="2"/>
        <v>8000</v>
      </c>
    </row>
    <row r="27" spans="1:9" ht="14.25" customHeight="1" x14ac:dyDescent="0.3">
      <c r="A27" s="1" t="s">
        <v>13</v>
      </c>
      <c r="B27" s="3">
        <f t="shared" ref="B27:G27" si="4">B26*$B$9</f>
        <v>450</v>
      </c>
      <c r="C27" s="3">
        <f t="shared" si="4"/>
        <v>375</v>
      </c>
      <c r="D27" s="3">
        <f t="shared" si="4"/>
        <v>275</v>
      </c>
      <c r="E27" s="3">
        <f t="shared" si="4"/>
        <v>225</v>
      </c>
      <c r="F27" s="3">
        <f t="shared" si="4"/>
        <v>275</v>
      </c>
      <c r="G27" s="3">
        <f t="shared" si="4"/>
        <v>400</v>
      </c>
      <c r="H27" s="2">
        <f t="shared" si="2"/>
        <v>2000</v>
      </c>
    </row>
    <row r="28" spans="1:9" ht="14.25" customHeight="1" x14ac:dyDescent="0.3">
      <c r="A28" s="1" t="s">
        <v>35</v>
      </c>
      <c r="B28" s="3">
        <f t="shared" ref="B28:G28" si="5">B26+B27-B25</f>
        <v>1850</v>
      </c>
      <c r="C28" s="3">
        <f t="shared" si="5"/>
        <v>1425</v>
      </c>
      <c r="D28" s="3">
        <f t="shared" si="5"/>
        <v>1000</v>
      </c>
      <c r="E28" s="3">
        <f t="shared" si="5"/>
        <v>850</v>
      </c>
      <c r="F28" s="3">
        <f t="shared" si="5"/>
        <v>1150</v>
      </c>
      <c r="G28" s="3">
        <f t="shared" si="5"/>
        <v>1725</v>
      </c>
      <c r="H28" s="2">
        <f t="shared" si="2"/>
        <v>8000</v>
      </c>
    </row>
    <row r="29" spans="1:9" ht="14.25" customHeight="1" x14ac:dyDescent="0.3">
      <c r="A29" s="1" t="s">
        <v>36</v>
      </c>
      <c r="B29" s="3">
        <f t="shared" ref="B29:G29" si="6">B28-B26+B25</f>
        <v>450</v>
      </c>
      <c r="C29" s="3">
        <f t="shared" si="6"/>
        <v>375</v>
      </c>
      <c r="D29" s="3">
        <f t="shared" si="6"/>
        <v>275</v>
      </c>
      <c r="E29" s="3">
        <f t="shared" si="6"/>
        <v>225</v>
      </c>
      <c r="F29" s="3">
        <f t="shared" si="6"/>
        <v>275</v>
      </c>
      <c r="G29" s="3">
        <f t="shared" si="6"/>
        <v>400</v>
      </c>
      <c r="H29" s="2">
        <f t="shared" si="2"/>
        <v>2000</v>
      </c>
    </row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">
    <mergeCell ref="A2:H2"/>
    <mergeCell ref="A7:B7"/>
    <mergeCell ref="A11:B11"/>
    <mergeCell ref="A23:H23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baseColWidth="10" defaultColWidth="14.44140625" defaultRowHeight="15" customHeight="1" x14ac:dyDescent="0.3"/>
  <cols>
    <col min="1" max="1" width="45.44140625" customWidth="1"/>
    <col min="2" max="2" width="11.6640625" customWidth="1"/>
    <col min="3" max="26" width="10.6640625" customWidth="1"/>
  </cols>
  <sheetData>
    <row r="1" spans="1:11" ht="25.5" customHeight="1" x14ac:dyDescent="0.3">
      <c r="A1" s="20" t="s">
        <v>37</v>
      </c>
      <c r="B1" s="17"/>
      <c r="C1" s="17"/>
      <c r="D1" s="17"/>
      <c r="E1" s="17"/>
      <c r="F1" s="17"/>
      <c r="G1" s="17"/>
      <c r="H1" s="18"/>
    </row>
    <row r="2" spans="1:11" ht="14.25" customHeight="1" x14ac:dyDescent="0.3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11" ht="14.25" customHeight="1" x14ac:dyDescent="0.3">
      <c r="A3" s="1" t="s">
        <v>38</v>
      </c>
      <c r="B3" s="3">
        <f>+Datos!B28</f>
        <v>1850</v>
      </c>
      <c r="C3" s="3">
        <f>+Datos!C28</f>
        <v>1425</v>
      </c>
      <c r="D3" s="3">
        <f>+Datos!D28</f>
        <v>1000</v>
      </c>
      <c r="E3" s="3">
        <f>+Datos!E28</f>
        <v>850</v>
      </c>
      <c r="F3" s="3">
        <f>+Datos!F28</f>
        <v>1150</v>
      </c>
      <c r="G3" s="3">
        <f>+Datos!G28</f>
        <v>1725</v>
      </c>
      <c r="H3" s="3"/>
      <c r="I3" s="7" t="s">
        <v>39</v>
      </c>
      <c r="J3" s="8"/>
      <c r="K3" s="8"/>
    </row>
    <row r="4" spans="1:11" ht="14.25" customHeight="1" x14ac:dyDescent="0.3">
      <c r="A4" s="1" t="s">
        <v>40</v>
      </c>
      <c r="B4" s="3">
        <f>B3*Datos!$B$18</f>
        <v>9250</v>
      </c>
      <c r="C4" s="3">
        <f>C3*Datos!$B$18</f>
        <v>7125</v>
      </c>
      <c r="D4" s="3">
        <f>D3*Datos!$B$18</f>
        <v>5000</v>
      </c>
      <c r="E4" s="3">
        <f>E3*Datos!$B$18</f>
        <v>4250</v>
      </c>
      <c r="F4" s="3">
        <f>F3*Datos!$B$18</f>
        <v>5750</v>
      </c>
      <c r="G4" s="3">
        <f>G3*Datos!$B$18</f>
        <v>8625</v>
      </c>
      <c r="H4" s="3"/>
    </row>
    <row r="5" spans="1:11" ht="14.25" customHeight="1" x14ac:dyDescent="0.3">
      <c r="A5" s="1" t="s">
        <v>41</v>
      </c>
      <c r="B5" s="3">
        <f>Datos!B5</f>
        <v>22</v>
      </c>
      <c r="C5" s="3">
        <f>Datos!C5</f>
        <v>19</v>
      </c>
      <c r="D5" s="3">
        <f>Datos!D5</f>
        <v>21</v>
      </c>
      <c r="E5" s="3">
        <f>Datos!E5</f>
        <v>21</v>
      </c>
      <c r="F5" s="3">
        <f>Datos!F5</f>
        <v>22</v>
      </c>
      <c r="G5" s="3">
        <f>Datos!G5</f>
        <v>20</v>
      </c>
      <c r="H5" s="3"/>
    </row>
    <row r="6" spans="1:11" ht="14.25" customHeight="1" x14ac:dyDescent="0.3">
      <c r="A6" s="1" t="s">
        <v>42</v>
      </c>
      <c r="B6" s="3">
        <f>B5*Datos!$B$21</f>
        <v>176</v>
      </c>
      <c r="C6" s="3">
        <f>C5*Datos!$B$21</f>
        <v>152</v>
      </c>
      <c r="D6" s="3">
        <f>D5*Datos!$B$21</f>
        <v>168</v>
      </c>
      <c r="E6" s="3">
        <f>E5*Datos!$B$21</f>
        <v>168</v>
      </c>
      <c r="F6" s="3">
        <f>F5*Datos!$B$21</f>
        <v>176</v>
      </c>
      <c r="G6" s="3">
        <f>G5*Datos!$B$21</f>
        <v>160</v>
      </c>
      <c r="H6" s="3"/>
    </row>
    <row r="7" spans="1:11" ht="14.25" customHeight="1" x14ac:dyDescent="0.3">
      <c r="A7" s="1" t="s">
        <v>43</v>
      </c>
      <c r="B7" s="9">
        <f t="shared" ref="B7:G7" si="0">ROUNDUP(B4/B6,0)</f>
        <v>53</v>
      </c>
      <c r="C7" s="9">
        <f t="shared" si="0"/>
        <v>47</v>
      </c>
      <c r="D7" s="9">
        <f t="shared" si="0"/>
        <v>30</v>
      </c>
      <c r="E7" s="9">
        <f t="shared" si="0"/>
        <v>26</v>
      </c>
      <c r="F7" s="9">
        <f t="shared" si="0"/>
        <v>33</v>
      </c>
      <c r="G7" s="9">
        <f t="shared" si="0"/>
        <v>54</v>
      </c>
      <c r="H7" s="3"/>
    </row>
    <row r="8" spans="1:11" ht="14.25" customHeight="1" x14ac:dyDescent="0.3">
      <c r="A8" s="1" t="s">
        <v>44</v>
      </c>
      <c r="B8" s="9">
        <f>B7</f>
        <v>53</v>
      </c>
      <c r="C8" s="9">
        <f t="shared" ref="C8:G8" si="1">IF((C7-B7)&gt;0,C7-B7,0)</f>
        <v>0</v>
      </c>
      <c r="D8" s="9">
        <f t="shared" si="1"/>
        <v>0</v>
      </c>
      <c r="E8" s="9">
        <f t="shared" si="1"/>
        <v>0</v>
      </c>
      <c r="F8" s="9">
        <f t="shared" si="1"/>
        <v>7</v>
      </c>
      <c r="G8" s="9">
        <f t="shared" si="1"/>
        <v>21</v>
      </c>
      <c r="H8" s="3"/>
    </row>
    <row r="9" spans="1:11" ht="14.25" customHeight="1" x14ac:dyDescent="0.3">
      <c r="A9" s="10" t="s">
        <v>45</v>
      </c>
      <c r="B9" s="11">
        <f>B8*Datos!$B$16</f>
        <v>10600</v>
      </c>
      <c r="C9" s="11">
        <f>'Plan 1'!C8*Datos!$B$16</f>
        <v>0</v>
      </c>
      <c r="D9" s="11">
        <f>'Plan 1'!D8*Datos!$B$16</f>
        <v>0</v>
      </c>
      <c r="E9" s="11">
        <f>'Plan 1'!E8*Datos!$B$16</f>
        <v>0</v>
      </c>
      <c r="F9" s="11">
        <f>'Plan 1'!F8*Datos!$B$16</f>
        <v>1400</v>
      </c>
      <c r="G9" s="11">
        <f>'Plan 1'!G8*Datos!$B$16</f>
        <v>4200</v>
      </c>
      <c r="H9" s="11">
        <f>SUM(B9:G9)</f>
        <v>16200</v>
      </c>
    </row>
    <row r="10" spans="1:11" ht="14.25" customHeight="1" x14ac:dyDescent="0.3">
      <c r="A10" s="1" t="s">
        <v>46</v>
      </c>
      <c r="B10" s="3">
        <v>0</v>
      </c>
      <c r="C10" s="9">
        <f t="shared" ref="C10:G10" si="2">IF((C7-B7)&lt;0,B7-C7,0)</f>
        <v>6</v>
      </c>
      <c r="D10" s="9">
        <f t="shared" si="2"/>
        <v>17</v>
      </c>
      <c r="E10" s="9">
        <f t="shared" si="2"/>
        <v>4</v>
      </c>
      <c r="F10" s="9">
        <f t="shared" si="2"/>
        <v>0</v>
      </c>
      <c r="G10" s="9">
        <f t="shared" si="2"/>
        <v>0</v>
      </c>
      <c r="H10" s="3"/>
    </row>
    <row r="11" spans="1:11" ht="14.25" customHeight="1" x14ac:dyDescent="0.3">
      <c r="A11" s="10" t="s">
        <v>47</v>
      </c>
      <c r="B11" s="11">
        <v>0</v>
      </c>
      <c r="C11" s="11">
        <f>C10*Datos!$B$17</f>
        <v>1500</v>
      </c>
      <c r="D11" s="11">
        <f>D10*Datos!$B$17</f>
        <v>4250</v>
      </c>
      <c r="E11" s="11">
        <f>E10*Datos!$B$17</f>
        <v>1000</v>
      </c>
      <c r="F11" s="11">
        <f>F10*Datos!$B$17</f>
        <v>0</v>
      </c>
      <c r="G11" s="11">
        <f>G10*Datos!$B$17</f>
        <v>0</v>
      </c>
      <c r="H11" s="11">
        <f t="shared" ref="H11:H12" si="3">SUM(B11:G11)</f>
        <v>6750</v>
      </c>
    </row>
    <row r="12" spans="1:11" ht="14.25" customHeight="1" x14ac:dyDescent="0.3">
      <c r="A12" s="10" t="s">
        <v>48</v>
      </c>
      <c r="B12" s="11">
        <f>B4*Datos!$B$19</f>
        <v>37000</v>
      </c>
      <c r="C12" s="11">
        <f>C4*Datos!$B$19</f>
        <v>28500</v>
      </c>
      <c r="D12" s="11">
        <f>D4*Datos!$B$19</f>
        <v>20000</v>
      </c>
      <c r="E12" s="11">
        <f>E4*Datos!$B$19</f>
        <v>17000</v>
      </c>
      <c r="F12" s="11">
        <f>F4*Datos!$B$19</f>
        <v>23000</v>
      </c>
      <c r="G12" s="11">
        <f>G4*Datos!$B$19</f>
        <v>34500</v>
      </c>
      <c r="H12" s="11">
        <f t="shared" si="3"/>
        <v>160000</v>
      </c>
    </row>
    <row r="13" spans="1:11" ht="14.25" customHeight="1" x14ac:dyDescent="0.3">
      <c r="E13" s="21" t="s">
        <v>49</v>
      </c>
      <c r="F13" s="17"/>
      <c r="G13" s="18"/>
      <c r="H13" s="12">
        <f>SUM(H3:H12)</f>
        <v>182950</v>
      </c>
    </row>
    <row r="14" spans="1:11" ht="14.25" customHeight="1" x14ac:dyDescent="0.3"/>
    <row r="15" spans="1:11" ht="14.25" customHeight="1" x14ac:dyDescent="0.3"/>
    <row r="16" spans="1:11" ht="14.25" customHeight="1" x14ac:dyDescent="0.3"/>
    <row r="17" spans="1:1" ht="14.25" customHeight="1" x14ac:dyDescent="0.3"/>
    <row r="18" spans="1:1" ht="14.25" customHeight="1" x14ac:dyDescent="0.3"/>
    <row r="19" spans="1:1" ht="14.25" customHeight="1" x14ac:dyDescent="0.3"/>
    <row r="20" spans="1:1" ht="14.25" customHeight="1" x14ac:dyDescent="0.3"/>
    <row r="21" spans="1:1" ht="14.25" customHeight="1" x14ac:dyDescent="0.3"/>
    <row r="22" spans="1:1" ht="14.25" customHeight="1" x14ac:dyDescent="0.3"/>
    <row r="23" spans="1:1" ht="14.25" customHeight="1" x14ac:dyDescent="0.3">
      <c r="A23" s="4" t="s">
        <v>50</v>
      </c>
    </row>
    <row r="24" spans="1:1" ht="14.25" customHeight="1" x14ac:dyDescent="0.3"/>
    <row r="25" spans="1:1" ht="14.25" customHeight="1" x14ac:dyDescent="0.3"/>
    <row r="26" spans="1:1" ht="14.25" customHeight="1" x14ac:dyDescent="0.3"/>
    <row r="27" spans="1:1" ht="14.25" customHeight="1" x14ac:dyDescent="0.3"/>
    <row r="28" spans="1:1" ht="14.25" customHeight="1" x14ac:dyDescent="0.3"/>
    <row r="29" spans="1:1" ht="14.25" customHeight="1" x14ac:dyDescent="0.3"/>
    <row r="30" spans="1:1" ht="14.25" customHeight="1" x14ac:dyDescent="0.3"/>
    <row r="31" spans="1:1" ht="14.25" customHeight="1" x14ac:dyDescent="0.3"/>
    <row r="32" spans="1: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H1"/>
    <mergeCell ref="E13:G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H1000"/>
  <sheetViews>
    <sheetView workbookViewId="0"/>
  </sheetViews>
  <sheetFormatPr baseColWidth="10" defaultColWidth="14.44140625" defaultRowHeight="15" customHeight="1" x14ac:dyDescent="0.3"/>
  <cols>
    <col min="1" max="1" width="37.6640625" customWidth="1"/>
    <col min="2" max="26" width="10.6640625" customWidth="1"/>
  </cols>
  <sheetData>
    <row r="1" spans="1:8" ht="24" customHeight="1" x14ac:dyDescent="0.3">
      <c r="A1" s="22" t="s">
        <v>51</v>
      </c>
      <c r="B1" s="17"/>
      <c r="C1" s="17"/>
      <c r="D1" s="17"/>
      <c r="E1" s="17"/>
      <c r="F1" s="17"/>
      <c r="G1" s="17"/>
      <c r="H1" s="18"/>
    </row>
    <row r="2" spans="1:8" ht="14.25" customHeight="1" x14ac:dyDescent="0.3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ht="14.25" customHeight="1" x14ac:dyDescent="0.3">
      <c r="A3" s="1" t="s">
        <v>52</v>
      </c>
      <c r="B3" s="3">
        <f>Datos!B25</f>
        <v>400</v>
      </c>
      <c r="C3" s="3">
        <f t="shared" ref="C3:G3" si="0">B8</f>
        <v>8</v>
      </c>
      <c r="D3" s="3">
        <f t="shared" si="0"/>
        <v>-276</v>
      </c>
      <c r="E3" s="3">
        <f t="shared" si="0"/>
        <v>-32</v>
      </c>
      <c r="F3" s="3">
        <f t="shared" si="0"/>
        <v>412</v>
      </c>
      <c r="G3" s="3">
        <f t="shared" si="0"/>
        <v>720</v>
      </c>
      <c r="H3" s="3"/>
    </row>
    <row r="4" spans="1:8" ht="14.25" customHeight="1" x14ac:dyDescent="0.3">
      <c r="A4" s="1" t="s">
        <v>53</v>
      </c>
      <c r="B4" s="3">
        <f>Datos!B5</f>
        <v>22</v>
      </c>
      <c r="C4" s="3">
        <f>Datos!C5</f>
        <v>19</v>
      </c>
      <c r="D4" s="3">
        <f>Datos!D5</f>
        <v>21</v>
      </c>
      <c r="E4" s="3">
        <f>Datos!E5</f>
        <v>21</v>
      </c>
      <c r="F4" s="3">
        <f>Datos!F5</f>
        <v>22</v>
      </c>
      <c r="G4" s="3">
        <f>Datos!G5</f>
        <v>20</v>
      </c>
      <c r="H4" s="3"/>
    </row>
    <row r="5" spans="1:8" ht="14.25" customHeight="1" x14ac:dyDescent="0.3">
      <c r="A5" s="1" t="s">
        <v>54</v>
      </c>
      <c r="B5" s="3">
        <f>B4*Datos!$B$21*$B$16</f>
        <v>7040</v>
      </c>
      <c r="C5" s="3">
        <f>C4*Datos!$B$21*$B$16</f>
        <v>6080</v>
      </c>
      <c r="D5" s="3">
        <f>D4*Datos!$B$21*$B$16</f>
        <v>6720</v>
      </c>
      <c r="E5" s="3">
        <f>E4*Datos!$B$21*$B$16</f>
        <v>6720</v>
      </c>
      <c r="F5" s="3">
        <f>F4*Datos!$B$21*$B$16</f>
        <v>7040</v>
      </c>
      <c r="G5" s="3">
        <f>G4*Datos!$B$21*$B$16</f>
        <v>6400</v>
      </c>
      <c r="H5" s="3"/>
    </row>
    <row r="6" spans="1:8" ht="14.25" customHeight="1" x14ac:dyDescent="0.3">
      <c r="A6" s="1" t="s">
        <v>55</v>
      </c>
      <c r="B6" s="3">
        <f>B5/Datos!$B$18</f>
        <v>1408</v>
      </c>
      <c r="C6" s="3">
        <f>C5/Datos!$B$18</f>
        <v>1216</v>
      </c>
      <c r="D6" s="3">
        <f>D5/Datos!$B$18</f>
        <v>1344</v>
      </c>
      <c r="E6" s="3">
        <f>E5/Datos!$B$18</f>
        <v>1344</v>
      </c>
      <c r="F6" s="3">
        <f>F5/Datos!$B$18</f>
        <v>1408</v>
      </c>
      <c r="G6" s="3">
        <f>G5/Datos!$B$18</f>
        <v>1280</v>
      </c>
      <c r="H6" s="3"/>
    </row>
    <row r="7" spans="1:8" ht="14.25" customHeight="1" x14ac:dyDescent="0.3">
      <c r="A7" s="1" t="s">
        <v>56</v>
      </c>
      <c r="B7" s="3">
        <f>Datos!B26</f>
        <v>1800</v>
      </c>
      <c r="C7" s="3">
        <f>Datos!C26</f>
        <v>1500</v>
      </c>
      <c r="D7" s="3">
        <f>Datos!D26</f>
        <v>1100</v>
      </c>
      <c r="E7" s="3">
        <f>Datos!E26</f>
        <v>900</v>
      </c>
      <c r="F7" s="3">
        <f>Datos!F26</f>
        <v>1100</v>
      </c>
      <c r="G7" s="3">
        <f>Datos!G26</f>
        <v>1600</v>
      </c>
      <c r="H7" s="3"/>
    </row>
    <row r="8" spans="1:8" ht="14.25" customHeight="1" x14ac:dyDescent="0.3">
      <c r="A8" s="1" t="s">
        <v>57</v>
      </c>
      <c r="B8" s="3">
        <f t="shared" ref="B8:G8" si="1">B3+B6-B7</f>
        <v>8</v>
      </c>
      <c r="C8" s="3">
        <f t="shared" si="1"/>
        <v>-276</v>
      </c>
      <c r="D8" s="3">
        <f t="shared" si="1"/>
        <v>-32</v>
      </c>
      <c r="E8" s="3">
        <f t="shared" si="1"/>
        <v>412</v>
      </c>
      <c r="F8" s="3">
        <f t="shared" si="1"/>
        <v>720</v>
      </c>
      <c r="G8" s="3">
        <f t="shared" si="1"/>
        <v>400</v>
      </c>
      <c r="H8" s="3"/>
    </row>
    <row r="9" spans="1:8" ht="14.25" customHeight="1" x14ac:dyDescent="0.3">
      <c r="A9" s="10" t="s">
        <v>58</v>
      </c>
      <c r="B9" s="11">
        <f>IF(B8&lt;0,B8*(-1)*Datos!$B$14,0)</f>
        <v>0</v>
      </c>
      <c r="C9" s="11">
        <f>IF(C8&lt;0,C8*(-1)*Datos!$B$14,0)</f>
        <v>1380</v>
      </c>
      <c r="D9" s="11">
        <f>IF(D8&lt;0,D8*(-1)*Datos!$B$14,0)</f>
        <v>160</v>
      </c>
      <c r="E9" s="11">
        <f>IF(E8&lt;0,E8*(-1)*Datos!$B$14,0)</f>
        <v>0</v>
      </c>
      <c r="F9" s="11">
        <f>IF(F8&lt;0,F8*(-1)*Datos!$B$14,0)</f>
        <v>0</v>
      </c>
      <c r="G9" s="11">
        <f>IF(G8&lt;0,G8*(-1)*Datos!$B$14,0)</f>
        <v>0</v>
      </c>
      <c r="H9" s="11">
        <f>SUM(B9:G9)</f>
        <v>1540</v>
      </c>
    </row>
    <row r="10" spans="1:8" ht="14.25" customHeight="1" x14ac:dyDescent="0.3">
      <c r="A10" s="1" t="s">
        <v>59</v>
      </c>
      <c r="B10" s="3">
        <f>Datos!B27</f>
        <v>450</v>
      </c>
      <c r="C10" s="3">
        <f>Datos!C27</f>
        <v>375</v>
      </c>
      <c r="D10" s="3">
        <f>Datos!D27</f>
        <v>275</v>
      </c>
      <c r="E10" s="3">
        <f>Datos!E27</f>
        <v>225</v>
      </c>
      <c r="F10" s="3">
        <f>Datos!F27</f>
        <v>275</v>
      </c>
      <c r="G10" s="3">
        <f>Datos!G27</f>
        <v>400</v>
      </c>
      <c r="H10" s="3"/>
    </row>
    <row r="11" spans="1:8" ht="14.25" customHeight="1" x14ac:dyDescent="0.3">
      <c r="A11" s="1" t="s">
        <v>60</v>
      </c>
      <c r="B11" s="3">
        <f t="shared" ref="B11:G11" si="2">IF(B8-B10&lt;0,0,B8-B10)</f>
        <v>0</v>
      </c>
      <c r="C11" s="3">
        <f t="shared" si="2"/>
        <v>0</v>
      </c>
      <c r="D11" s="3">
        <f t="shared" si="2"/>
        <v>0</v>
      </c>
      <c r="E11" s="3">
        <f t="shared" si="2"/>
        <v>187</v>
      </c>
      <c r="F11" s="3">
        <f t="shared" si="2"/>
        <v>445</v>
      </c>
      <c r="G11" s="3">
        <f t="shared" si="2"/>
        <v>0</v>
      </c>
      <c r="H11" s="3"/>
    </row>
    <row r="12" spans="1:8" ht="14.25" customHeight="1" x14ac:dyDescent="0.3">
      <c r="A12" s="10" t="s">
        <v>61</v>
      </c>
      <c r="B12" s="11">
        <f>B11*Datos!$B$13</f>
        <v>0</v>
      </c>
      <c r="C12" s="11">
        <f>C11*Datos!$B$13</f>
        <v>0</v>
      </c>
      <c r="D12" s="11">
        <f>D11*Datos!$B$13</f>
        <v>0</v>
      </c>
      <c r="E12" s="11">
        <f>E11*Datos!$B$13</f>
        <v>280.5</v>
      </c>
      <c r="F12" s="11">
        <f>F11*Datos!$B$13</f>
        <v>667.5</v>
      </c>
      <c r="G12" s="11">
        <f>G11*Datos!$B$13</f>
        <v>0</v>
      </c>
      <c r="H12" s="11">
        <f t="shared" ref="H12:H13" si="3">SUM(B12:G12)</f>
        <v>948</v>
      </c>
    </row>
    <row r="13" spans="1:8" ht="14.25" customHeight="1" x14ac:dyDescent="0.3">
      <c r="A13" s="10" t="s">
        <v>62</v>
      </c>
      <c r="B13" s="11">
        <f>B5*Datos!$B$19</f>
        <v>28160</v>
      </c>
      <c r="C13" s="11">
        <f>C5*Datos!$B$19</f>
        <v>24320</v>
      </c>
      <c r="D13" s="11">
        <f>D5*Datos!$B$19</f>
        <v>26880</v>
      </c>
      <c r="E13" s="11">
        <f>E5*Datos!$B$19</f>
        <v>26880</v>
      </c>
      <c r="F13" s="11">
        <f>F5*Datos!$B$19</f>
        <v>28160</v>
      </c>
      <c r="G13" s="11">
        <f>G5*Datos!$B$19</f>
        <v>25600</v>
      </c>
      <c r="H13" s="11">
        <f t="shared" si="3"/>
        <v>160000</v>
      </c>
    </row>
    <row r="14" spans="1:8" ht="14.25" customHeight="1" x14ac:dyDescent="0.3">
      <c r="E14" s="21" t="s">
        <v>49</v>
      </c>
      <c r="F14" s="17"/>
      <c r="G14" s="18"/>
      <c r="H14" s="12">
        <f>SUM(H3:H13)</f>
        <v>162488</v>
      </c>
    </row>
    <row r="15" spans="1:8" ht="14.25" customHeight="1" x14ac:dyDescent="0.3"/>
    <row r="16" spans="1:8" ht="14.25" customHeight="1" x14ac:dyDescent="0.3">
      <c r="A16" s="23" t="s">
        <v>63</v>
      </c>
      <c r="B16" s="14">
        <f>(Datos!H4*Datos!B18)/(Datos!H5*Datos!B21)</f>
        <v>40</v>
      </c>
    </row>
    <row r="17" spans="1:1" ht="14.25" customHeight="1" x14ac:dyDescent="0.3">
      <c r="A17" s="24"/>
    </row>
    <row r="18" spans="1:1" ht="14.25" customHeight="1" x14ac:dyDescent="0.3"/>
    <row r="19" spans="1:1" ht="14.25" customHeight="1" x14ac:dyDescent="0.3"/>
    <row r="20" spans="1:1" ht="14.25" customHeight="1" x14ac:dyDescent="0.3"/>
    <row r="21" spans="1:1" ht="14.25" customHeight="1" x14ac:dyDescent="0.3"/>
    <row r="22" spans="1:1" ht="14.25" customHeight="1" x14ac:dyDescent="0.3"/>
    <row r="23" spans="1:1" ht="14.25" customHeight="1" x14ac:dyDescent="0.3"/>
    <row r="24" spans="1:1" ht="14.25" customHeight="1" x14ac:dyDescent="0.3"/>
    <row r="25" spans="1:1" ht="14.25" customHeight="1" x14ac:dyDescent="0.3"/>
    <row r="26" spans="1:1" ht="14.25" customHeight="1" x14ac:dyDescent="0.3"/>
    <row r="27" spans="1:1" ht="14.25" customHeight="1" x14ac:dyDescent="0.3"/>
    <row r="28" spans="1:1" ht="14.25" customHeight="1" x14ac:dyDescent="0.3"/>
    <row r="29" spans="1:1" ht="14.25" customHeight="1" x14ac:dyDescent="0.3"/>
    <row r="30" spans="1:1" ht="14.25" customHeight="1" x14ac:dyDescent="0.3"/>
    <row r="31" spans="1:1" ht="14.25" customHeight="1" x14ac:dyDescent="0.3"/>
    <row r="32" spans="1: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1:H1"/>
    <mergeCell ref="E14:G14"/>
    <mergeCell ref="A16:A1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39.5546875" customWidth="1"/>
    <col min="2" max="26" width="10.6640625" customWidth="1"/>
  </cols>
  <sheetData>
    <row r="1" spans="1:8" ht="25.5" customHeight="1" x14ac:dyDescent="0.3">
      <c r="A1" s="25" t="s">
        <v>64</v>
      </c>
      <c r="B1" s="17"/>
      <c r="C1" s="17"/>
      <c r="D1" s="17"/>
      <c r="E1" s="17"/>
      <c r="F1" s="17"/>
      <c r="G1" s="17"/>
      <c r="H1" s="18"/>
    </row>
    <row r="2" spans="1:8" ht="14.25" customHeight="1" x14ac:dyDescent="0.3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ht="14.25" customHeight="1" x14ac:dyDescent="0.3">
      <c r="A3" s="1" t="s">
        <v>65</v>
      </c>
      <c r="B3" s="3">
        <f>Datos!B28</f>
        <v>1850</v>
      </c>
      <c r="C3" s="3">
        <f>Datos!C28</f>
        <v>1425</v>
      </c>
      <c r="D3" s="3">
        <f>Datos!D28</f>
        <v>1000</v>
      </c>
      <c r="E3" s="3">
        <f>Datos!E28</f>
        <v>850</v>
      </c>
      <c r="F3" s="3">
        <f>Datos!F28</f>
        <v>1150</v>
      </c>
      <c r="G3" s="3">
        <f>Datos!G28</f>
        <v>1725</v>
      </c>
      <c r="H3" s="3"/>
    </row>
    <row r="4" spans="1:8" ht="14.25" customHeight="1" x14ac:dyDescent="0.3">
      <c r="A4" s="1" t="s">
        <v>53</v>
      </c>
      <c r="B4" s="3">
        <f>Datos!B5</f>
        <v>22</v>
      </c>
      <c r="C4" s="3">
        <f>Datos!C5</f>
        <v>19</v>
      </c>
      <c r="D4" s="3">
        <f>Datos!D5</f>
        <v>21</v>
      </c>
      <c r="E4" s="3">
        <f>Datos!E5</f>
        <v>21</v>
      </c>
      <c r="F4" s="3">
        <f>Datos!F5</f>
        <v>22</v>
      </c>
      <c r="G4" s="3">
        <f>Datos!G5</f>
        <v>20</v>
      </c>
      <c r="H4" s="3"/>
    </row>
    <row r="5" spans="1:8" ht="14.25" customHeight="1" x14ac:dyDescent="0.3">
      <c r="A5" s="1" t="s">
        <v>54</v>
      </c>
      <c r="B5" s="3">
        <f>$B$13*Datos!$B$21*'Plan 3'!B4</f>
        <v>4400</v>
      </c>
      <c r="C5" s="3">
        <f>$B$13*Datos!$B$21*'Plan 3'!C4</f>
        <v>3800</v>
      </c>
      <c r="D5" s="3">
        <f>$B$13*Datos!$B$21*'Plan 3'!D4</f>
        <v>4200</v>
      </c>
      <c r="E5" s="3">
        <f>$B$13*Datos!$B$21*'Plan 3'!E4</f>
        <v>4200</v>
      </c>
      <c r="F5" s="3">
        <f>$B$13*Datos!$B$21*'Plan 3'!F4</f>
        <v>4400</v>
      </c>
      <c r="G5" s="3">
        <f>$B$13*Datos!$B$21*'Plan 3'!G4</f>
        <v>4000</v>
      </c>
      <c r="H5" s="3"/>
    </row>
    <row r="6" spans="1:8" ht="14.25" customHeight="1" x14ac:dyDescent="0.3">
      <c r="A6" s="1" t="s">
        <v>55</v>
      </c>
      <c r="B6" s="3">
        <f>ROUNDDOWN(B5/Datos!$B$18,0)</f>
        <v>880</v>
      </c>
      <c r="C6" s="3">
        <f>ROUNDDOWN(C5/Datos!$B$18,0)</f>
        <v>760</v>
      </c>
      <c r="D6" s="3">
        <f>ROUNDDOWN(D5/Datos!$B$18,0)</f>
        <v>840</v>
      </c>
      <c r="E6" s="3">
        <f>ROUNDDOWN(E5/Datos!$B$18,0)</f>
        <v>840</v>
      </c>
      <c r="F6" s="3">
        <f>ROUNDDOWN(F5/Datos!$B$18,0)</f>
        <v>880</v>
      </c>
      <c r="G6" s="3">
        <f>ROUNDDOWN(G5/Datos!$B$18,0)</f>
        <v>800</v>
      </c>
      <c r="H6" s="3"/>
    </row>
    <row r="7" spans="1:8" ht="14.25" customHeight="1" x14ac:dyDescent="0.3">
      <c r="A7" s="1" t="s">
        <v>66</v>
      </c>
      <c r="B7" s="3">
        <f t="shared" ref="B7:G7" si="0">IF(B3-B6&lt;0,0,B3-B6)</f>
        <v>970</v>
      </c>
      <c r="C7" s="3">
        <f t="shared" si="0"/>
        <v>665</v>
      </c>
      <c r="D7" s="3">
        <f t="shared" si="0"/>
        <v>160</v>
      </c>
      <c r="E7" s="3">
        <f t="shared" si="0"/>
        <v>10</v>
      </c>
      <c r="F7" s="3">
        <f t="shared" si="0"/>
        <v>270</v>
      </c>
      <c r="G7" s="3">
        <f t="shared" si="0"/>
        <v>925</v>
      </c>
      <c r="H7" s="3"/>
    </row>
    <row r="8" spans="1:8" ht="14.25" customHeight="1" x14ac:dyDescent="0.3">
      <c r="A8" s="10" t="s">
        <v>67</v>
      </c>
      <c r="B8" s="11">
        <f>B7*Datos!$B$15</f>
        <v>19400</v>
      </c>
      <c r="C8" s="11">
        <f>C7*Datos!$B$15</f>
        <v>13300</v>
      </c>
      <c r="D8" s="11">
        <f>D7*Datos!$B$15</f>
        <v>3200</v>
      </c>
      <c r="E8" s="11">
        <f>E7*Datos!$B$15</f>
        <v>200</v>
      </c>
      <c r="F8" s="11">
        <f>F7*Datos!$B$15</f>
        <v>5400</v>
      </c>
      <c r="G8" s="11">
        <f>G7*Datos!$B$15</f>
        <v>18500</v>
      </c>
      <c r="H8" s="11">
        <f t="shared" ref="H8:H9" si="1">SUM(B8:G8)</f>
        <v>60000</v>
      </c>
    </row>
    <row r="9" spans="1:8" ht="14.25" customHeight="1" x14ac:dyDescent="0.3">
      <c r="A9" s="10" t="s">
        <v>68</v>
      </c>
      <c r="B9" s="11">
        <f>B5*Datos!$B$19</f>
        <v>17600</v>
      </c>
      <c r="C9" s="11">
        <f>C5*Datos!$B$19</f>
        <v>15200</v>
      </c>
      <c r="D9" s="11">
        <f>D5*Datos!$B$19</f>
        <v>16800</v>
      </c>
      <c r="E9" s="11">
        <f>E5*Datos!$B$19</f>
        <v>16800</v>
      </c>
      <c r="F9" s="11">
        <f>F5*Datos!$B$19</f>
        <v>17600</v>
      </c>
      <c r="G9" s="11">
        <f>G5*Datos!$B$19</f>
        <v>16000</v>
      </c>
      <c r="H9" s="11">
        <f t="shared" si="1"/>
        <v>100000</v>
      </c>
    </row>
    <row r="10" spans="1:8" ht="14.25" customHeight="1" x14ac:dyDescent="0.3">
      <c r="E10" s="21" t="s">
        <v>49</v>
      </c>
      <c r="F10" s="17"/>
      <c r="G10" s="18"/>
      <c r="H10" s="12">
        <f>SUM(H8:H9)</f>
        <v>160000</v>
      </c>
    </row>
    <row r="11" spans="1:8" ht="14.25" customHeight="1" x14ac:dyDescent="0.3"/>
    <row r="12" spans="1:8" ht="33" customHeight="1" x14ac:dyDescent="0.3">
      <c r="A12" s="13" t="s">
        <v>69</v>
      </c>
      <c r="B12" s="14">
        <f>(E3*Datos!B18)/(E4*Datos!B21)</f>
        <v>25.297619047619047</v>
      </c>
    </row>
    <row r="13" spans="1:8" ht="14.25" customHeight="1" x14ac:dyDescent="0.3">
      <c r="A13" s="4" t="s">
        <v>70</v>
      </c>
      <c r="B13" s="14">
        <v>25</v>
      </c>
      <c r="C13" s="15" t="s">
        <v>71</v>
      </c>
    </row>
    <row r="14" spans="1:8" ht="14.25" customHeight="1" x14ac:dyDescent="0.3"/>
    <row r="15" spans="1:8" ht="14.25" customHeight="1" x14ac:dyDescent="0.3"/>
    <row r="16" spans="1:8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H1"/>
    <mergeCell ref="E10:G1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H1000"/>
  <sheetViews>
    <sheetView workbookViewId="0"/>
  </sheetViews>
  <sheetFormatPr baseColWidth="10" defaultColWidth="14.44140625" defaultRowHeight="15" customHeight="1" x14ac:dyDescent="0.3"/>
  <cols>
    <col min="1" max="1" width="41.6640625" customWidth="1"/>
    <col min="2" max="26" width="10.6640625" customWidth="1"/>
  </cols>
  <sheetData>
    <row r="1" spans="1:8" ht="25.5" customHeight="1" x14ac:dyDescent="0.3">
      <c r="A1" s="26" t="s">
        <v>72</v>
      </c>
      <c r="B1" s="17"/>
      <c r="C1" s="17"/>
      <c r="D1" s="17"/>
      <c r="E1" s="17"/>
      <c r="F1" s="17"/>
      <c r="G1" s="17"/>
      <c r="H1" s="18"/>
    </row>
    <row r="2" spans="1:8" ht="14.25" customHeight="1" x14ac:dyDescent="0.3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ht="14.25" customHeight="1" x14ac:dyDescent="0.3">
      <c r="A3" s="1" t="s">
        <v>52</v>
      </c>
      <c r="B3" s="3">
        <f>Datos!B25</f>
        <v>400</v>
      </c>
      <c r="C3" s="3">
        <f t="shared" ref="C3:G3" si="0">IF(B8&lt;0,0,B8)</f>
        <v>8</v>
      </c>
      <c r="D3" s="3">
        <f t="shared" si="0"/>
        <v>0</v>
      </c>
      <c r="E3" s="3">
        <f t="shared" si="0"/>
        <v>244</v>
      </c>
      <c r="F3" s="3">
        <f t="shared" si="0"/>
        <v>688</v>
      </c>
      <c r="G3" s="3">
        <f t="shared" si="0"/>
        <v>996</v>
      </c>
      <c r="H3" s="3"/>
    </row>
    <row r="4" spans="1:8" ht="14.25" customHeight="1" x14ac:dyDescent="0.3">
      <c r="A4" s="1" t="s">
        <v>53</v>
      </c>
      <c r="B4" s="3">
        <f>Datos!B5</f>
        <v>22</v>
      </c>
      <c r="C4" s="3">
        <f>Datos!C5</f>
        <v>19</v>
      </c>
      <c r="D4" s="3">
        <f>Datos!D5</f>
        <v>21</v>
      </c>
      <c r="E4" s="3">
        <f>Datos!E5</f>
        <v>21</v>
      </c>
      <c r="F4" s="3">
        <f>Datos!F5</f>
        <v>22</v>
      </c>
      <c r="G4" s="3">
        <f>Datos!G5</f>
        <v>20</v>
      </c>
      <c r="H4" s="3"/>
    </row>
    <row r="5" spans="1:8" ht="14.25" customHeight="1" x14ac:dyDescent="0.3">
      <c r="A5" s="1" t="s">
        <v>54</v>
      </c>
      <c r="B5" s="3">
        <f>$B$18*B4*Datos!$B$21</f>
        <v>7040</v>
      </c>
      <c r="C5" s="3">
        <f>$B$18*C4*Datos!$B$21</f>
        <v>6080</v>
      </c>
      <c r="D5" s="3">
        <f>$B$18*D4*Datos!$B$21</f>
        <v>6720</v>
      </c>
      <c r="E5" s="3">
        <f>$B$18*E4*Datos!$B$21</f>
        <v>6720</v>
      </c>
      <c r="F5" s="3">
        <f>$B$18*F4*Datos!$B$21</f>
        <v>7040</v>
      </c>
      <c r="G5" s="3">
        <f>$B$18*G4*Datos!$B$21</f>
        <v>6400</v>
      </c>
      <c r="H5" s="3"/>
    </row>
    <row r="6" spans="1:8" ht="14.25" customHeight="1" x14ac:dyDescent="0.3">
      <c r="A6" s="1" t="s">
        <v>73</v>
      </c>
      <c r="B6" s="3">
        <f>B5/Datos!$B$18</f>
        <v>1408</v>
      </c>
      <c r="C6" s="3">
        <f>C5/Datos!$B$18</f>
        <v>1216</v>
      </c>
      <c r="D6" s="3">
        <f>D5/Datos!$B$18</f>
        <v>1344</v>
      </c>
      <c r="E6" s="3">
        <f>E5/Datos!$B$18</f>
        <v>1344</v>
      </c>
      <c r="F6" s="3">
        <f>F5/Datos!$B$18</f>
        <v>1408</v>
      </c>
      <c r="G6" s="3">
        <f>G5/Datos!$B$18</f>
        <v>1280</v>
      </c>
      <c r="H6" s="3"/>
    </row>
    <row r="7" spans="1:8" ht="14.25" customHeight="1" x14ac:dyDescent="0.3">
      <c r="A7" s="1" t="s">
        <v>56</v>
      </c>
      <c r="B7" s="3">
        <f>Datos!B4</f>
        <v>1800</v>
      </c>
      <c r="C7" s="3">
        <f>Datos!C4</f>
        <v>1500</v>
      </c>
      <c r="D7" s="3">
        <f>Datos!D4</f>
        <v>1100</v>
      </c>
      <c r="E7" s="3">
        <f>Datos!E4</f>
        <v>900</v>
      </c>
      <c r="F7" s="3">
        <f>Datos!F4</f>
        <v>1100</v>
      </c>
      <c r="G7" s="3">
        <f>Datos!G4</f>
        <v>1600</v>
      </c>
      <c r="H7" s="3"/>
    </row>
    <row r="8" spans="1:8" ht="14.25" customHeight="1" x14ac:dyDescent="0.3">
      <c r="A8" s="1" t="s">
        <v>74</v>
      </c>
      <c r="B8" s="3">
        <f t="shared" ref="B8:G8" si="1">B3+B6-B7</f>
        <v>8</v>
      </c>
      <c r="C8" s="3">
        <f t="shared" si="1"/>
        <v>-276</v>
      </c>
      <c r="D8" s="3">
        <f t="shared" si="1"/>
        <v>244</v>
      </c>
      <c r="E8" s="3">
        <f t="shared" si="1"/>
        <v>688</v>
      </c>
      <c r="F8" s="3">
        <f t="shared" si="1"/>
        <v>996</v>
      </c>
      <c r="G8" s="3">
        <f t="shared" si="1"/>
        <v>676</v>
      </c>
      <c r="H8" s="3"/>
    </row>
    <row r="9" spans="1:8" ht="14.25" customHeight="1" x14ac:dyDescent="0.3">
      <c r="A9" s="1" t="s">
        <v>75</v>
      </c>
      <c r="B9" s="3">
        <f t="shared" ref="B9:G9" si="2">IF(B8&lt;0,-B8,0)</f>
        <v>0</v>
      </c>
      <c r="C9" s="3">
        <f t="shared" si="2"/>
        <v>276</v>
      </c>
      <c r="D9" s="3">
        <f t="shared" si="2"/>
        <v>0</v>
      </c>
      <c r="E9" s="3">
        <f t="shared" si="2"/>
        <v>0</v>
      </c>
      <c r="F9" s="3">
        <f t="shared" si="2"/>
        <v>0</v>
      </c>
      <c r="G9" s="3">
        <f t="shared" si="2"/>
        <v>0</v>
      </c>
      <c r="H9" s="3"/>
    </row>
    <row r="10" spans="1:8" ht="14.25" customHeight="1" x14ac:dyDescent="0.3">
      <c r="A10" s="10" t="s">
        <v>76</v>
      </c>
      <c r="B10" s="11">
        <f>B9*Datos!$B$20*Datos!$B$18</f>
        <v>0</v>
      </c>
      <c r="C10" s="11">
        <f>C9*Datos!$B$20*Datos!$B$18</f>
        <v>8280</v>
      </c>
      <c r="D10" s="11">
        <f>D9*Datos!$B$20*Datos!$B$18</f>
        <v>0</v>
      </c>
      <c r="E10" s="11">
        <f>E9*Datos!$B$20*Datos!$B$18</f>
        <v>0</v>
      </c>
      <c r="F10" s="11">
        <f>F9*Datos!$B$20*Datos!$B$18</f>
        <v>0</v>
      </c>
      <c r="G10" s="11">
        <f>G9*Datos!$B$20*Datos!$B$18</f>
        <v>0</v>
      </c>
      <c r="H10" s="11">
        <f>SUM(B10:G10)</f>
        <v>8280</v>
      </c>
    </row>
    <row r="11" spans="1:8" ht="14.25" customHeight="1" x14ac:dyDescent="0.3">
      <c r="A11" s="1" t="s">
        <v>77</v>
      </c>
      <c r="B11" s="3">
        <f>Datos!B27</f>
        <v>450</v>
      </c>
      <c r="C11" s="3">
        <f>Datos!C27</f>
        <v>375</v>
      </c>
      <c r="D11" s="3">
        <f>Datos!D27</f>
        <v>275</v>
      </c>
      <c r="E11" s="3">
        <f>Datos!E27</f>
        <v>225</v>
      </c>
      <c r="F11" s="3">
        <f>Datos!F27</f>
        <v>275</v>
      </c>
      <c r="G11" s="3">
        <f>Datos!G27</f>
        <v>400</v>
      </c>
      <c r="H11" s="3"/>
    </row>
    <row r="12" spans="1:8" ht="14.25" customHeight="1" x14ac:dyDescent="0.3">
      <c r="A12" s="1" t="s">
        <v>78</v>
      </c>
      <c r="B12" s="3">
        <f t="shared" ref="B12:G12" si="3">IF(B8-B11&lt;0,0,B8-B11)</f>
        <v>0</v>
      </c>
      <c r="C12" s="3">
        <f t="shared" si="3"/>
        <v>0</v>
      </c>
      <c r="D12" s="3">
        <f t="shared" si="3"/>
        <v>0</v>
      </c>
      <c r="E12" s="3">
        <f t="shared" si="3"/>
        <v>463</v>
      </c>
      <c r="F12" s="3">
        <f t="shared" si="3"/>
        <v>721</v>
      </c>
      <c r="G12" s="3">
        <f t="shared" si="3"/>
        <v>276</v>
      </c>
      <c r="H12" s="3"/>
    </row>
    <row r="13" spans="1:8" ht="14.25" customHeight="1" x14ac:dyDescent="0.3">
      <c r="A13" s="10" t="s">
        <v>79</v>
      </c>
      <c r="B13" s="11">
        <f>B12*Datos!$B$13</f>
        <v>0</v>
      </c>
      <c r="C13" s="11">
        <f>C12*Datos!$B$13</f>
        <v>0</v>
      </c>
      <c r="D13" s="11">
        <f>D12*Datos!$B$13</f>
        <v>0</v>
      </c>
      <c r="E13" s="11">
        <f>E12*Datos!$B$13</f>
        <v>694.5</v>
      </c>
      <c r="F13" s="11">
        <f>F12*Datos!$B$13</f>
        <v>1081.5</v>
      </c>
      <c r="G13" s="11">
        <f>G12*Datos!$B$13</f>
        <v>414</v>
      </c>
      <c r="H13" s="11">
        <f t="shared" ref="H13:H14" si="4">SUM(B13:G13)</f>
        <v>2190</v>
      </c>
    </row>
    <row r="14" spans="1:8" ht="14.25" customHeight="1" x14ac:dyDescent="0.3">
      <c r="A14" s="10" t="s">
        <v>80</v>
      </c>
      <c r="B14" s="11">
        <f>B5*Datos!$B$19</f>
        <v>28160</v>
      </c>
      <c r="C14" s="11">
        <f>C5*Datos!$B$19</f>
        <v>24320</v>
      </c>
      <c r="D14" s="11">
        <f>D5*Datos!$B$19</f>
        <v>26880</v>
      </c>
      <c r="E14" s="11">
        <f>E5*Datos!$B$19</f>
        <v>26880</v>
      </c>
      <c r="F14" s="11">
        <f>F5*Datos!$B$19</f>
        <v>28160</v>
      </c>
      <c r="G14" s="11">
        <f>G5*Datos!$B$19</f>
        <v>25600</v>
      </c>
      <c r="H14" s="11">
        <f t="shared" si="4"/>
        <v>160000</v>
      </c>
    </row>
    <row r="15" spans="1:8" ht="15" customHeight="1" x14ac:dyDescent="0.3">
      <c r="E15" s="21" t="s">
        <v>49</v>
      </c>
      <c r="F15" s="17"/>
      <c r="G15" s="18"/>
      <c r="H15" s="12">
        <f>SUM(H3:H14)</f>
        <v>170470</v>
      </c>
    </row>
    <row r="16" spans="1:8" ht="14.25" customHeight="1" x14ac:dyDescent="0.3"/>
    <row r="17" spans="1:2" ht="14.25" customHeight="1" x14ac:dyDescent="0.3"/>
    <row r="18" spans="1:2" ht="33" customHeight="1" x14ac:dyDescent="0.3">
      <c r="A18" s="13" t="s">
        <v>63</v>
      </c>
      <c r="B18" s="14">
        <f>(Datos!H4*Datos!B18)/(Datos!H5*Datos!B21)</f>
        <v>40</v>
      </c>
    </row>
    <row r="19" spans="1:2" ht="14.25" customHeight="1" x14ac:dyDescent="0.3"/>
    <row r="20" spans="1:2" ht="14.25" customHeight="1" x14ac:dyDescent="0.3"/>
    <row r="21" spans="1:2" ht="14.25" customHeight="1" x14ac:dyDescent="0.3"/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H1"/>
    <mergeCell ref="E15:G1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</vt:lpstr>
      <vt:lpstr>Plan 1</vt:lpstr>
      <vt:lpstr>Plan 2</vt:lpstr>
      <vt:lpstr>Plan 3</vt:lpstr>
      <vt:lpstr>Plan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Benítez</dc:creator>
  <cp:lastModifiedBy>Nelson Escobar</cp:lastModifiedBy>
  <dcterms:created xsi:type="dcterms:W3CDTF">2018-01-31T00:05:01Z</dcterms:created>
  <dcterms:modified xsi:type="dcterms:W3CDTF">2025-10-26T19:11:39Z</dcterms:modified>
</cp:coreProperties>
</file>