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8FE3C072-7760-4493-8F14-1C65DCFA8EE3}" xr6:coauthVersionLast="47" xr6:coauthVersionMax="47" xr10:uidLastSave="{00000000-0000-0000-0000-000000000000}"/>
  <bookViews>
    <workbookView xWindow="12" yWindow="720" windowWidth="23028" windowHeight="12240" activeTab="1" xr2:uid="{00000000-000D-0000-FFFF-FFFF00000000}"/>
  </bookViews>
  <sheets>
    <sheet name="TEMA 1" sheetId="1" r:id="rId1"/>
    <sheet name="TEMA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0" i="2" l="1"/>
  <c r="R89" i="2"/>
  <c r="Q89" i="2"/>
  <c r="S89" i="2" s="1"/>
  <c r="R88" i="2"/>
  <c r="S88" i="2" s="1"/>
  <c r="Q88" i="2"/>
  <c r="P88" i="2"/>
  <c r="R87" i="2"/>
  <c r="Q87" i="2"/>
  <c r="O87" i="2"/>
  <c r="R86" i="2"/>
  <c r="P86" i="2"/>
  <c r="O86" i="2"/>
  <c r="S86" i="2" s="1"/>
  <c r="N86" i="2"/>
  <c r="Q84" i="2"/>
  <c r="Q85" i="2"/>
  <c r="P85" i="2"/>
  <c r="O85" i="2"/>
  <c r="N85" i="2"/>
  <c r="R46" i="2"/>
  <c r="R85" i="2"/>
  <c r="R84" i="2"/>
  <c r="P84" i="2"/>
  <c r="N84" i="2"/>
  <c r="S90" i="2"/>
  <c r="P87" i="2"/>
  <c r="Q86" i="2"/>
  <c r="M85" i="2"/>
  <c r="O84" i="2"/>
  <c r="M84" i="2"/>
  <c r="L84" i="2"/>
  <c r="S48" i="2"/>
  <c r="R51" i="2"/>
  <c r="S51" i="2" s="1"/>
  <c r="R50" i="2"/>
  <c r="Q50" i="2"/>
  <c r="S50" i="2" s="1"/>
  <c r="R49" i="2"/>
  <c r="Q49" i="2"/>
  <c r="S49" i="2" s="1"/>
  <c r="P49" i="2"/>
  <c r="R48" i="2"/>
  <c r="Q48" i="2"/>
  <c r="P48" i="2"/>
  <c r="O48" i="2"/>
  <c r="R47" i="2"/>
  <c r="Q47" i="2"/>
  <c r="P47" i="2"/>
  <c r="S47" i="2" s="1"/>
  <c r="O47" i="2"/>
  <c r="N47" i="2"/>
  <c r="Q46" i="2"/>
  <c r="P46" i="2"/>
  <c r="O46" i="2"/>
  <c r="N46" i="2"/>
  <c r="M46" i="2"/>
  <c r="R45" i="2"/>
  <c r="Q45" i="2"/>
  <c r="P45" i="2"/>
  <c r="O45" i="2"/>
  <c r="N45" i="2"/>
  <c r="M45" i="2"/>
  <c r="L45" i="2"/>
  <c r="S45" i="2" s="1"/>
  <c r="K14" i="1"/>
  <c r="K17" i="1" s="1"/>
  <c r="O25" i="1" s="1"/>
  <c r="J53" i="1"/>
  <c r="O31" i="1" s="1"/>
  <c r="D52" i="1"/>
  <c r="E52" i="1"/>
  <c r="F52" i="1"/>
  <c r="G52" i="1"/>
  <c r="H52" i="1"/>
  <c r="I52" i="1"/>
  <c r="J52" i="1"/>
  <c r="C52" i="1"/>
  <c r="J50" i="1"/>
  <c r="D46" i="1"/>
  <c r="E46" i="1"/>
  <c r="F46" i="1"/>
  <c r="G46" i="1"/>
  <c r="H46" i="1"/>
  <c r="I46" i="1"/>
  <c r="J46" i="1"/>
  <c r="C46" i="1"/>
  <c r="J44" i="1"/>
  <c r="J47" i="1" s="1"/>
  <c r="O30" i="1" s="1"/>
  <c r="D40" i="1"/>
  <c r="E40" i="1"/>
  <c r="F40" i="1"/>
  <c r="G40" i="1"/>
  <c r="H40" i="1"/>
  <c r="I40" i="1"/>
  <c r="J40" i="1"/>
  <c r="C40" i="1"/>
  <c r="J38" i="1"/>
  <c r="J41" i="1" s="1"/>
  <c r="O29" i="1" s="1"/>
  <c r="D34" i="1"/>
  <c r="E34" i="1"/>
  <c r="F34" i="1"/>
  <c r="G34" i="1"/>
  <c r="H34" i="1"/>
  <c r="I34" i="1"/>
  <c r="J34" i="1"/>
  <c r="C34" i="1"/>
  <c r="J32" i="1"/>
  <c r="J35" i="1" s="1"/>
  <c r="O28" i="1" s="1"/>
  <c r="K29" i="1"/>
  <c r="O27" i="1" s="1"/>
  <c r="D28" i="1"/>
  <c r="E28" i="1"/>
  <c r="F28" i="1"/>
  <c r="G28" i="1"/>
  <c r="H28" i="1"/>
  <c r="I28" i="1"/>
  <c r="J28" i="1"/>
  <c r="K28" i="1"/>
  <c r="C28" i="1"/>
  <c r="K26" i="1"/>
  <c r="D22" i="1"/>
  <c r="E22" i="1"/>
  <c r="F22" i="1"/>
  <c r="G22" i="1"/>
  <c r="H22" i="1"/>
  <c r="I22" i="1"/>
  <c r="J22" i="1"/>
  <c r="K22" i="1"/>
  <c r="C22" i="1"/>
  <c r="K20" i="1"/>
  <c r="K23" i="1" s="1"/>
  <c r="O26" i="1" s="1"/>
  <c r="K16" i="1"/>
  <c r="D16" i="1"/>
  <c r="E16" i="1"/>
  <c r="F16" i="1"/>
  <c r="G16" i="1"/>
  <c r="H16" i="1"/>
  <c r="I16" i="1"/>
  <c r="J16" i="1"/>
  <c r="C16" i="1"/>
  <c r="L11" i="1"/>
  <c r="O24" i="1" s="1"/>
  <c r="D10" i="1"/>
  <c r="E10" i="1"/>
  <c r="F10" i="1"/>
  <c r="G10" i="1"/>
  <c r="H10" i="1"/>
  <c r="I10" i="1"/>
  <c r="J10" i="1"/>
  <c r="K10" i="1"/>
  <c r="L10" i="1"/>
  <c r="C10" i="1"/>
  <c r="S46" i="2" l="1"/>
  <c r="S53" i="2" s="1"/>
  <c r="S87" i="2"/>
  <c r="S85" i="2"/>
  <c r="S84" i="2"/>
  <c r="S92" i="2" l="1"/>
  <c r="M97" i="2"/>
</calcChain>
</file>

<file path=xl/sharedStrings.xml><?xml version="1.0" encoding="utf-8"?>
<sst xmlns="http://schemas.openxmlformats.org/spreadsheetml/2006/main" count="110" uniqueCount="35">
  <si>
    <t>a) Con Excel, cree la MRP con la lista de materiales (BOM) escalonada. b) Determine las necesidades netas de cada pieza</t>
  </si>
  <si>
    <t>X</t>
  </si>
  <si>
    <t>Requerimiento bruto</t>
  </si>
  <si>
    <t>Recepciones programadas</t>
  </si>
  <si>
    <t>Proj. Avance disponible</t>
  </si>
  <si>
    <t>On-</t>
  </si>
  <si>
    <t>Requerimientos netos</t>
  </si>
  <si>
    <t xml:space="preserve">hand </t>
  </si>
  <si>
    <t>Recepcion de pedidos planeados</t>
  </si>
  <si>
    <t xml:space="preserve">Plan de Pedidos liberados </t>
  </si>
  <si>
    <t>A</t>
  </si>
  <si>
    <t>B</t>
  </si>
  <si>
    <t>LT=1</t>
  </si>
  <si>
    <t>C</t>
  </si>
  <si>
    <t>D</t>
  </si>
  <si>
    <t>E</t>
  </si>
  <si>
    <t>F</t>
  </si>
  <si>
    <t>G</t>
  </si>
  <si>
    <t>DIA</t>
  </si>
  <si>
    <t>PIEZA</t>
  </si>
  <si>
    <t>REQUERIMIENTOS NETOS</t>
  </si>
  <si>
    <t>COSTO DE TRANSPORTE DE 5000 POR CENTROS CONTIGUOS Y 5000 POR CADA CENTRO INTERMEDIO</t>
  </si>
  <si>
    <t>1)</t>
  </si>
  <si>
    <t>2)</t>
  </si>
  <si>
    <t>10M</t>
  </si>
  <si>
    <t>20M</t>
  </si>
  <si>
    <t>40M</t>
  </si>
  <si>
    <t>3)</t>
  </si>
  <si>
    <t>MATRIZ DE COSTOS</t>
  </si>
  <si>
    <t>SUB SUMA</t>
  </si>
  <si>
    <t>COSTO TOTAL</t>
  </si>
  <si>
    <t>4)</t>
  </si>
  <si>
    <t>5)</t>
  </si>
  <si>
    <t>MEJOR SOLUCION</t>
  </si>
  <si>
    <t>AHORRO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</si>
</sst>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Alignme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/>
    <xf numFmtId="0" fontId="6" fillId="0" borderId="1" xfId="0" applyFont="1" applyBorder="1" applyAlignment="1">
      <alignment horizontal="center"/>
    </xf>
    <xf numFmtId="0" fontId="5" fillId="0" borderId="0" xfId="0" applyFont="1" applyAlignment="1"/>
    <xf numFmtId="0" fontId="6" fillId="0" borderId="0" xfId="0" applyFont="1" applyAlignment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5" fillId="0" borderId="0" xfId="0" applyFont="1" applyBorder="1"/>
    <xf numFmtId="0" fontId="0" fillId="0" borderId="0" xfId="0" applyFont="1" applyBorder="1" applyAlignment="1"/>
    <xf numFmtId="0" fontId="6" fillId="0" borderId="0" xfId="0" applyFont="1" applyBorder="1" applyAlignment="1"/>
    <xf numFmtId="0" fontId="5" fillId="0" borderId="0" xfId="0" applyFont="1" applyBorder="1" applyAlignment="1"/>
    <xf numFmtId="0" fontId="0" fillId="0" borderId="0" xfId="0" applyBorder="1"/>
    <xf numFmtId="0" fontId="7" fillId="0" borderId="0" xfId="0" applyFont="1" applyAlignment="1"/>
    <xf numFmtId="0" fontId="8" fillId="0" borderId="0" xfId="0" applyFont="1" applyAlignment="1"/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5" fillId="2" borderId="0" xfId="0" applyFont="1" applyFill="1"/>
    <xf numFmtId="0" fontId="1" fillId="2" borderId="0" xfId="0" applyFont="1" applyFill="1" applyAlignment="1"/>
    <xf numFmtId="0" fontId="9" fillId="2" borderId="0" xfId="0" applyFont="1" applyFill="1" applyAlignment="1"/>
    <xf numFmtId="0" fontId="6" fillId="2" borderId="0" xfId="0" applyFont="1" applyFill="1" applyAlignment="1"/>
    <xf numFmtId="0" fontId="6" fillId="2" borderId="0" xfId="0" applyFont="1" applyFill="1" applyAlignment="1">
      <alignment horizontal="center"/>
    </xf>
    <xf numFmtId="0" fontId="0" fillId="3" borderId="2" xfId="0" applyFill="1" applyBorder="1"/>
    <xf numFmtId="0" fontId="2" fillId="0" borderId="2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3" fontId="0" fillId="0" borderId="2" xfId="0" applyNumberFormat="1" applyBorder="1"/>
    <xf numFmtId="3" fontId="0" fillId="3" borderId="2" xfId="0" applyNumberFormat="1" applyFill="1" applyBorder="1"/>
    <xf numFmtId="3" fontId="2" fillId="0" borderId="2" xfId="0" applyNumberFormat="1" applyFont="1" applyBorder="1"/>
    <xf numFmtId="0" fontId="0" fillId="0" borderId="0" xfId="0" applyFill="1" applyBorder="1"/>
    <xf numFmtId="0" fontId="2" fillId="0" borderId="0" xfId="0" applyFont="1" applyFill="1" applyBorder="1" applyAlignment="1">
      <alignment horizontal="center"/>
    </xf>
    <xf numFmtId="3" fontId="0" fillId="0" borderId="2" xfId="0" applyNumberFormat="1" applyFont="1" applyBorder="1"/>
    <xf numFmtId="3" fontId="0" fillId="3" borderId="2" xfId="0" applyNumberFormat="1" applyFont="1" applyFill="1" applyBorder="1"/>
    <xf numFmtId="3" fontId="16" fillId="2" borderId="0" xfId="0" applyNumberFormat="1" applyFont="1" applyFill="1"/>
    <xf numFmtId="0" fontId="0" fillId="0" borderId="0" xfId="0" applyAlignment="1">
      <alignment horizontal="center"/>
    </xf>
    <xf numFmtId="0" fontId="12" fillId="0" borderId="0" xfId="0" applyFont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3" fontId="0" fillId="0" borderId="2" xfId="0" applyNumberFormat="1" applyBorder="1" applyAlignment="1">
      <alignment horizontal="center"/>
    </xf>
    <xf numFmtId="3" fontId="15" fillId="2" borderId="2" xfId="0" applyNumberFormat="1" applyFont="1" applyFill="1" applyBorder="1" applyAlignment="1">
      <alignment horizontal="center" wrapText="1"/>
    </xf>
    <xf numFmtId="0" fontId="12" fillId="2" borderId="2" xfId="0" applyFont="1" applyFill="1" applyBorder="1" applyAlignment="1">
      <alignment horizontal="right"/>
    </xf>
    <xf numFmtId="0" fontId="14" fillId="4" borderId="3" xfId="0" applyFont="1" applyFill="1" applyBorder="1" applyAlignment="1">
      <alignment horizontal="center"/>
    </xf>
    <xf numFmtId="0" fontId="14" fillId="4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329226</xdr:colOff>
      <xdr:row>3</xdr:row>
      <xdr:rowOff>106258</xdr:rowOff>
    </xdr:from>
    <xdr:to>
      <xdr:col>17</xdr:col>
      <xdr:colOff>481878</xdr:colOff>
      <xdr:row>17</xdr:row>
      <xdr:rowOff>38401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25415" y="663819"/>
          <a:ext cx="4253048" cy="4880497"/>
        </a:xfrm>
        <a:prstGeom prst="rect">
          <a:avLst/>
        </a:prstGeom>
      </xdr:spPr>
    </xdr:pic>
    <xdr:clientData/>
  </xdr:twoCellAnchor>
  <xdr:twoCellAnchor>
    <xdr:from>
      <xdr:col>5</xdr:col>
      <xdr:colOff>200025</xdr:colOff>
      <xdr:row>3</xdr:row>
      <xdr:rowOff>114300</xdr:rowOff>
    </xdr:from>
    <xdr:to>
      <xdr:col>6</xdr:col>
      <xdr:colOff>38100</xdr:colOff>
      <xdr:row>3</xdr:row>
      <xdr:rowOff>447675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010025" y="685800"/>
          <a:ext cx="600075" cy="33337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Y" sz="1100"/>
            <a:t>X(1)</a:t>
          </a:r>
        </a:p>
      </xdr:txBody>
    </xdr:sp>
    <xdr:clientData/>
  </xdr:twoCellAnchor>
  <xdr:twoCellAnchor>
    <xdr:from>
      <xdr:col>2</xdr:col>
      <xdr:colOff>523875</xdr:colOff>
      <xdr:row>3</xdr:row>
      <xdr:rowOff>990600</xdr:rowOff>
    </xdr:from>
    <xdr:to>
      <xdr:col>3</xdr:col>
      <xdr:colOff>361950</xdr:colOff>
      <xdr:row>3</xdr:row>
      <xdr:rowOff>1323975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047875" y="1562100"/>
          <a:ext cx="600075" cy="33337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Y" sz="1100"/>
            <a:t>A(4)</a:t>
          </a:r>
        </a:p>
      </xdr:txBody>
    </xdr:sp>
    <xdr:clientData/>
  </xdr:twoCellAnchor>
  <xdr:twoCellAnchor>
    <xdr:from>
      <xdr:col>5</xdr:col>
      <xdr:colOff>209550</xdr:colOff>
      <xdr:row>3</xdr:row>
      <xdr:rowOff>990600</xdr:rowOff>
    </xdr:from>
    <xdr:to>
      <xdr:col>6</xdr:col>
      <xdr:colOff>47625</xdr:colOff>
      <xdr:row>3</xdr:row>
      <xdr:rowOff>1323975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4019550" y="1562100"/>
          <a:ext cx="600075" cy="33337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Y" sz="1100"/>
            <a:t>B(2)</a:t>
          </a:r>
        </a:p>
      </xdr:txBody>
    </xdr:sp>
    <xdr:clientData/>
  </xdr:twoCellAnchor>
  <xdr:twoCellAnchor>
    <xdr:from>
      <xdr:col>8</xdr:col>
      <xdr:colOff>85725</xdr:colOff>
      <xdr:row>3</xdr:row>
      <xdr:rowOff>990600</xdr:rowOff>
    </xdr:from>
    <xdr:to>
      <xdr:col>8</xdr:col>
      <xdr:colOff>685800</xdr:colOff>
      <xdr:row>3</xdr:row>
      <xdr:rowOff>1323975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181725" y="1562100"/>
          <a:ext cx="600075" cy="33337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Y" sz="1100"/>
            <a:t>C(3)</a:t>
          </a:r>
        </a:p>
      </xdr:txBody>
    </xdr:sp>
    <xdr:clientData/>
  </xdr:twoCellAnchor>
  <xdr:twoCellAnchor>
    <xdr:from>
      <xdr:col>4</xdr:col>
      <xdr:colOff>243934</xdr:colOff>
      <xdr:row>3</xdr:row>
      <xdr:rowOff>1695450</xdr:rowOff>
    </xdr:from>
    <xdr:to>
      <xdr:col>5</xdr:col>
      <xdr:colOff>323851</xdr:colOff>
      <xdr:row>3</xdr:row>
      <xdr:rowOff>2028825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4506952" y="2253011"/>
          <a:ext cx="846564" cy="33337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Y" sz="1100"/>
            <a:t>D(3)</a:t>
          </a:r>
        </a:p>
      </xdr:txBody>
    </xdr:sp>
    <xdr:clientData/>
  </xdr:twoCellAnchor>
  <xdr:twoCellAnchor>
    <xdr:from>
      <xdr:col>6</xdr:col>
      <xdr:colOff>3969</xdr:colOff>
      <xdr:row>3</xdr:row>
      <xdr:rowOff>1704975</xdr:rowOff>
    </xdr:from>
    <xdr:to>
      <xdr:col>7</xdr:col>
      <xdr:colOff>3969</xdr:colOff>
      <xdr:row>3</xdr:row>
      <xdr:rowOff>2038350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4230688" y="2300288"/>
          <a:ext cx="377031" cy="33337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Y" sz="1100"/>
            <a:t>E(1)</a:t>
          </a:r>
        </a:p>
        <a:p>
          <a:pPr algn="ctr"/>
          <a:endParaRPr lang="es-PY" sz="1100"/>
        </a:p>
      </xdr:txBody>
    </xdr:sp>
    <xdr:clientData/>
  </xdr:twoCellAnchor>
  <xdr:twoCellAnchor>
    <xdr:from>
      <xdr:col>7</xdr:col>
      <xdr:colOff>352425</xdr:colOff>
      <xdr:row>3</xdr:row>
      <xdr:rowOff>1676400</xdr:rowOff>
    </xdr:from>
    <xdr:to>
      <xdr:col>8</xdr:col>
      <xdr:colOff>190500</xdr:colOff>
      <xdr:row>3</xdr:row>
      <xdr:rowOff>2009775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5686425" y="2247900"/>
          <a:ext cx="600075" cy="33337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Y" sz="1100"/>
            <a:t>F(4)</a:t>
          </a:r>
        </a:p>
        <a:p>
          <a:pPr algn="ctr"/>
          <a:endParaRPr lang="es-PY" sz="1100"/>
        </a:p>
      </xdr:txBody>
    </xdr:sp>
    <xdr:clientData/>
  </xdr:twoCellAnchor>
  <xdr:twoCellAnchor>
    <xdr:from>
      <xdr:col>8</xdr:col>
      <xdr:colOff>571500</xdr:colOff>
      <xdr:row>3</xdr:row>
      <xdr:rowOff>1676400</xdr:rowOff>
    </xdr:from>
    <xdr:to>
      <xdr:col>9</xdr:col>
      <xdr:colOff>409575</xdr:colOff>
      <xdr:row>3</xdr:row>
      <xdr:rowOff>2009775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667500" y="2247900"/>
          <a:ext cx="600075" cy="33337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Y" sz="1100"/>
            <a:t>G(2)</a:t>
          </a:r>
        </a:p>
        <a:p>
          <a:pPr algn="ctr"/>
          <a:endParaRPr lang="es-PY" sz="1100"/>
        </a:p>
      </xdr:txBody>
    </xdr:sp>
    <xdr:clientData/>
  </xdr:twoCellAnchor>
  <xdr:twoCellAnchor editAs="oneCell">
    <xdr:from>
      <xdr:col>12</xdr:col>
      <xdr:colOff>157511</xdr:colOff>
      <xdr:row>0</xdr:row>
      <xdr:rowOff>142874</xdr:rowOff>
    </xdr:from>
    <xdr:to>
      <xdr:col>18</xdr:col>
      <xdr:colOff>432632</xdr:colOff>
      <xdr:row>3</xdr:row>
      <xdr:rowOff>190191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53700" y="142874"/>
          <a:ext cx="5142164" cy="604878"/>
        </a:xfrm>
        <a:prstGeom prst="rect">
          <a:avLst/>
        </a:prstGeom>
      </xdr:spPr>
    </xdr:pic>
    <xdr:clientData/>
  </xdr:twoCellAnchor>
  <xdr:twoCellAnchor>
    <xdr:from>
      <xdr:col>5</xdr:col>
      <xdr:colOff>495300</xdr:colOff>
      <xdr:row>3</xdr:row>
      <xdr:rowOff>447675</xdr:rowOff>
    </xdr:from>
    <xdr:to>
      <xdr:col>5</xdr:col>
      <xdr:colOff>500063</xdr:colOff>
      <xdr:row>3</xdr:row>
      <xdr:rowOff>676275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>
          <a:stCxn id="3" idx="2"/>
        </xdr:cNvCxnSpPr>
      </xdr:nvCxnSpPr>
      <xdr:spPr>
        <a:xfrm flipH="1">
          <a:off x="4305300" y="1019175"/>
          <a:ext cx="4763" cy="228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752475</xdr:colOff>
      <xdr:row>3</xdr:row>
      <xdr:rowOff>704851</xdr:rowOff>
    </xdr:from>
    <xdr:to>
      <xdr:col>8</xdr:col>
      <xdr:colOff>360091</xdr:colOff>
      <xdr:row>3</xdr:row>
      <xdr:rowOff>743415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3482201" y="1262412"/>
          <a:ext cx="4207494" cy="385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</xdr:row>
      <xdr:rowOff>695325</xdr:rowOff>
    </xdr:from>
    <xdr:to>
      <xdr:col>3</xdr:col>
      <xdr:colOff>9526</xdr:colOff>
      <xdr:row>3</xdr:row>
      <xdr:rowOff>923925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H="1">
          <a:off x="2286000" y="1266825"/>
          <a:ext cx="9526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476250</xdr:colOff>
      <xdr:row>3</xdr:row>
      <xdr:rowOff>714375</xdr:rowOff>
    </xdr:from>
    <xdr:to>
      <xdr:col>5</xdr:col>
      <xdr:colOff>485776</xdr:colOff>
      <xdr:row>3</xdr:row>
      <xdr:rowOff>942975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H="1">
          <a:off x="4286250" y="1285875"/>
          <a:ext cx="9526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333375</xdr:colOff>
      <xdr:row>3</xdr:row>
      <xdr:rowOff>733425</xdr:rowOff>
    </xdr:from>
    <xdr:to>
      <xdr:col>8</xdr:col>
      <xdr:colOff>342901</xdr:colOff>
      <xdr:row>3</xdr:row>
      <xdr:rowOff>962025</xdr:rowOff>
    </xdr:to>
    <xdr:cxnSp macro="">
      <xdr:nvCxnSpPr>
        <xdr:cNvPr id="25" name="Conector recto de flecha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 flipH="1">
          <a:off x="6429375" y="1304925"/>
          <a:ext cx="9526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667217</xdr:colOff>
      <xdr:row>3</xdr:row>
      <xdr:rowOff>1323974</xdr:rowOff>
    </xdr:from>
    <xdr:to>
      <xdr:col>5</xdr:col>
      <xdr:colOff>511912</xdr:colOff>
      <xdr:row>3</xdr:row>
      <xdr:rowOff>1695449</xdr:rowOff>
    </xdr:to>
    <xdr:cxnSp macro="">
      <xdr:nvCxnSpPr>
        <xdr:cNvPr id="27" name="Conector angular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>
          <a:stCxn id="8" idx="2"/>
          <a:endCxn id="10" idx="0"/>
        </xdr:cNvCxnSpPr>
      </xdr:nvCxnSpPr>
      <xdr:spPr>
        <a:xfrm rot="5400000">
          <a:off x="5050168" y="1761602"/>
          <a:ext cx="371475" cy="611342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499481</xdr:colOff>
      <xdr:row>3</xdr:row>
      <xdr:rowOff>1521677</xdr:rowOff>
    </xdr:from>
    <xdr:to>
      <xdr:col>6</xdr:col>
      <xdr:colOff>387292</xdr:colOff>
      <xdr:row>3</xdr:row>
      <xdr:rowOff>1704975</xdr:rowOff>
    </xdr:to>
    <xdr:cxnSp macro="">
      <xdr:nvCxnSpPr>
        <xdr:cNvPr id="28" name="Conector angular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>
          <a:endCxn id="11" idx="0"/>
        </xdr:cNvCxnSpPr>
      </xdr:nvCxnSpPr>
      <xdr:spPr>
        <a:xfrm>
          <a:off x="5529146" y="2079238"/>
          <a:ext cx="654457" cy="183298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641525</xdr:colOff>
      <xdr:row>3</xdr:row>
      <xdr:rowOff>1320202</xdr:rowOff>
    </xdr:from>
    <xdr:to>
      <xdr:col>8</xdr:col>
      <xdr:colOff>363414</xdr:colOff>
      <xdr:row>3</xdr:row>
      <xdr:rowOff>1691677</xdr:rowOff>
    </xdr:to>
    <xdr:cxnSp macro="">
      <xdr:nvCxnSpPr>
        <xdr:cNvPr id="32" name="Conector angular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 rot="5400000">
          <a:off x="6045878" y="1828894"/>
          <a:ext cx="371475" cy="485775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358367</xdr:colOff>
      <xdr:row>3</xdr:row>
      <xdr:rowOff>1509853</xdr:rowOff>
    </xdr:from>
    <xdr:to>
      <xdr:col>9</xdr:col>
      <xdr:colOff>143395</xdr:colOff>
      <xdr:row>3</xdr:row>
      <xdr:rowOff>1701202</xdr:rowOff>
    </xdr:to>
    <xdr:cxnSp macro="">
      <xdr:nvCxnSpPr>
        <xdr:cNvPr id="33" name="Conector angular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>
          <a:off x="6469456" y="2075695"/>
          <a:ext cx="548914" cy="191349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7</xdr:col>
      <xdr:colOff>28575</xdr:colOff>
      <xdr:row>24</xdr:row>
      <xdr:rowOff>167019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362574" cy="47390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66675</xdr:rowOff>
    </xdr:from>
    <xdr:to>
      <xdr:col>6</xdr:col>
      <xdr:colOff>694667</xdr:colOff>
      <xdr:row>32</xdr:row>
      <xdr:rowOff>123651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29175"/>
          <a:ext cx="5266667" cy="1390476"/>
        </a:xfrm>
        <a:prstGeom prst="rect">
          <a:avLst/>
        </a:prstGeom>
      </xdr:spPr>
    </xdr:pic>
    <xdr:clientData/>
  </xdr:twoCellAnchor>
  <xdr:twoCellAnchor>
    <xdr:from>
      <xdr:col>9</xdr:col>
      <xdr:colOff>742950</xdr:colOff>
      <xdr:row>26</xdr:row>
      <xdr:rowOff>19049</xdr:rowOff>
    </xdr:from>
    <xdr:to>
      <xdr:col>10</xdr:col>
      <xdr:colOff>609600</xdr:colOff>
      <xdr:row>29</xdr:row>
      <xdr:rowOff>9524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600950" y="4972049"/>
          <a:ext cx="628650" cy="5619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Y" sz="1800"/>
            <a:t>1</a:t>
          </a:r>
          <a:endParaRPr lang="es-PY" sz="1100"/>
        </a:p>
      </xdr:txBody>
    </xdr:sp>
    <xdr:clientData/>
  </xdr:twoCellAnchor>
  <xdr:twoCellAnchor>
    <xdr:from>
      <xdr:col>9</xdr:col>
      <xdr:colOff>752475</xdr:colOff>
      <xdr:row>34</xdr:row>
      <xdr:rowOff>152399</xdr:rowOff>
    </xdr:from>
    <xdr:to>
      <xdr:col>10</xdr:col>
      <xdr:colOff>619125</xdr:colOff>
      <xdr:row>37</xdr:row>
      <xdr:rowOff>142874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7610475" y="6629399"/>
          <a:ext cx="628650" cy="5619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Y" sz="1800"/>
            <a:t>5</a:t>
          </a:r>
          <a:endParaRPr lang="es-PY" sz="1100"/>
        </a:p>
      </xdr:txBody>
    </xdr:sp>
    <xdr:clientData/>
  </xdr:twoCellAnchor>
  <xdr:twoCellAnchor>
    <xdr:from>
      <xdr:col>13</xdr:col>
      <xdr:colOff>19050</xdr:colOff>
      <xdr:row>25</xdr:row>
      <xdr:rowOff>190499</xdr:rowOff>
    </xdr:from>
    <xdr:to>
      <xdr:col>13</xdr:col>
      <xdr:colOff>647700</xdr:colOff>
      <xdr:row>28</xdr:row>
      <xdr:rowOff>180974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9925050" y="4952999"/>
          <a:ext cx="628650" cy="5619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Y" sz="1800"/>
            <a:t>2</a:t>
          </a:r>
          <a:endParaRPr lang="es-PY" sz="1100"/>
        </a:p>
      </xdr:txBody>
    </xdr:sp>
    <xdr:clientData/>
  </xdr:twoCellAnchor>
  <xdr:twoCellAnchor>
    <xdr:from>
      <xdr:col>13</xdr:col>
      <xdr:colOff>38100</xdr:colOff>
      <xdr:row>34</xdr:row>
      <xdr:rowOff>190499</xdr:rowOff>
    </xdr:from>
    <xdr:to>
      <xdr:col>13</xdr:col>
      <xdr:colOff>666750</xdr:colOff>
      <xdr:row>37</xdr:row>
      <xdr:rowOff>180974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9944100" y="6667499"/>
          <a:ext cx="628650" cy="5619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Y" sz="1800"/>
            <a:t>6</a:t>
          </a:r>
          <a:endParaRPr lang="es-PY" sz="1100"/>
        </a:p>
      </xdr:txBody>
    </xdr:sp>
    <xdr:clientData/>
  </xdr:twoCellAnchor>
  <xdr:twoCellAnchor>
    <xdr:from>
      <xdr:col>15</xdr:col>
      <xdr:colOff>628650</xdr:colOff>
      <xdr:row>25</xdr:row>
      <xdr:rowOff>152399</xdr:rowOff>
    </xdr:from>
    <xdr:to>
      <xdr:col>16</xdr:col>
      <xdr:colOff>495300</xdr:colOff>
      <xdr:row>28</xdr:row>
      <xdr:rowOff>142874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12058650" y="4914899"/>
          <a:ext cx="628650" cy="5619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Y" sz="1800"/>
            <a:t>3</a:t>
          </a:r>
          <a:endParaRPr lang="es-PY" sz="1100"/>
        </a:p>
      </xdr:txBody>
    </xdr:sp>
    <xdr:clientData/>
  </xdr:twoCellAnchor>
  <xdr:twoCellAnchor>
    <xdr:from>
      <xdr:col>15</xdr:col>
      <xdr:colOff>666750</xdr:colOff>
      <xdr:row>35</xdr:row>
      <xdr:rowOff>38099</xdr:rowOff>
    </xdr:from>
    <xdr:to>
      <xdr:col>16</xdr:col>
      <xdr:colOff>533400</xdr:colOff>
      <xdr:row>38</xdr:row>
      <xdr:rowOff>28574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2096750" y="6705599"/>
          <a:ext cx="628650" cy="5619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Y" sz="1800"/>
            <a:t>7</a:t>
          </a:r>
          <a:endParaRPr lang="es-PY" sz="1100"/>
        </a:p>
      </xdr:txBody>
    </xdr:sp>
    <xdr:clientData/>
  </xdr:twoCellAnchor>
  <xdr:twoCellAnchor>
    <xdr:from>
      <xdr:col>18</xdr:col>
      <xdr:colOff>428625</xdr:colOff>
      <xdr:row>25</xdr:row>
      <xdr:rowOff>123824</xdr:rowOff>
    </xdr:from>
    <xdr:to>
      <xdr:col>19</xdr:col>
      <xdr:colOff>295275</xdr:colOff>
      <xdr:row>28</xdr:row>
      <xdr:rowOff>114299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4144625" y="4886324"/>
          <a:ext cx="628650" cy="5619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Y" sz="1800"/>
            <a:t>4</a:t>
          </a:r>
          <a:endParaRPr lang="es-PY" sz="1100"/>
        </a:p>
      </xdr:txBody>
    </xdr:sp>
    <xdr:clientData/>
  </xdr:twoCellAnchor>
  <xdr:twoCellAnchor>
    <xdr:from>
      <xdr:col>18</xdr:col>
      <xdr:colOff>485775</xdr:colOff>
      <xdr:row>35</xdr:row>
      <xdr:rowOff>57149</xdr:rowOff>
    </xdr:from>
    <xdr:to>
      <xdr:col>19</xdr:col>
      <xdr:colOff>352425</xdr:colOff>
      <xdr:row>38</xdr:row>
      <xdr:rowOff>47624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14201775" y="6724649"/>
          <a:ext cx="628650" cy="5619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Y" sz="1800"/>
            <a:t>8</a:t>
          </a:r>
          <a:endParaRPr lang="es-PY" sz="1100"/>
        </a:p>
      </xdr:txBody>
    </xdr:sp>
    <xdr:clientData/>
  </xdr:twoCellAnchor>
  <xdr:twoCellAnchor>
    <xdr:from>
      <xdr:col>13</xdr:col>
      <xdr:colOff>114300</xdr:colOff>
      <xdr:row>13</xdr:row>
      <xdr:rowOff>142875</xdr:rowOff>
    </xdr:from>
    <xdr:to>
      <xdr:col>13</xdr:col>
      <xdr:colOff>476250</xdr:colOff>
      <xdr:row>20</xdr:row>
      <xdr:rowOff>19050</xdr:rowOff>
    </xdr:to>
    <xdr:sp macro="" textlink="">
      <xdr:nvSpPr>
        <xdr:cNvPr id="14" name="Cerrar llav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0020300" y="2619375"/>
          <a:ext cx="361950" cy="12096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8</xdr:col>
      <xdr:colOff>681037</xdr:colOff>
      <xdr:row>20</xdr:row>
      <xdr:rowOff>28575</xdr:rowOff>
    </xdr:from>
    <xdr:to>
      <xdr:col>13</xdr:col>
      <xdr:colOff>38099</xdr:colOff>
      <xdr:row>21</xdr:row>
      <xdr:rowOff>52389</xdr:rowOff>
    </xdr:to>
    <xdr:sp macro="" textlink="">
      <xdr:nvSpPr>
        <xdr:cNvPr id="15" name="Cerrar llav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 rot="5400000">
          <a:off x="8253411" y="2362201"/>
          <a:ext cx="214314" cy="3167062"/>
        </a:xfrm>
        <a:prstGeom prst="rightBrace">
          <a:avLst>
            <a:gd name="adj1" fmla="val 8333"/>
            <a:gd name="adj2" fmla="val 49398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10</xdr:col>
      <xdr:colOff>609600</xdr:colOff>
      <xdr:row>27</xdr:row>
      <xdr:rowOff>90487</xdr:rowOff>
    </xdr:from>
    <xdr:to>
      <xdr:col>13</xdr:col>
      <xdr:colOff>19050</xdr:colOff>
      <xdr:row>27</xdr:row>
      <xdr:rowOff>109537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>
          <a:stCxn id="4" idx="6"/>
          <a:endCxn id="7" idx="2"/>
        </xdr:cNvCxnSpPr>
      </xdr:nvCxnSpPr>
      <xdr:spPr>
        <a:xfrm flipV="1">
          <a:off x="8229600" y="5233987"/>
          <a:ext cx="169545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517536</xdr:colOff>
      <xdr:row>25</xdr:row>
      <xdr:rowOff>152400</xdr:rowOff>
    </xdr:from>
    <xdr:to>
      <xdr:col>16</xdr:col>
      <xdr:colOff>180975</xdr:colOff>
      <xdr:row>26</xdr:row>
      <xdr:rowOff>101349</xdr:rowOff>
    </xdr:to>
    <xdr:cxnSp macro="">
      <xdr:nvCxnSpPr>
        <xdr:cNvPr id="22" name="Conector angular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CxnSpPr>
          <a:stCxn id="4" idx="7"/>
          <a:endCxn id="9" idx="0"/>
        </xdr:cNvCxnSpPr>
      </xdr:nvCxnSpPr>
      <xdr:spPr>
        <a:xfrm rot="5400000" flipH="1" flipV="1">
          <a:off x="10185531" y="2866905"/>
          <a:ext cx="139449" cy="4235439"/>
        </a:xfrm>
        <a:prstGeom prst="bentConnector3">
          <a:avLst>
            <a:gd name="adj1" fmla="val 284422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295275</xdr:colOff>
      <xdr:row>25</xdr:row>
      <xdr:rowOff>123825</xdr:rowOff>
    </xdr:from>
    <xdr:to>
      <xdr:col>18</xdr:col>
      <xdr:colOff>742950</xdr:colOff>
      <xdr:row>26</xdr:row>
      <xdr:rowOff>19050</xdr:rowOff>
    </xdr:to>
    <xdr:cxnSp macro="">
      <xdr:nvCxnSpPr>
        <xdr:cNvPr id="25" name="Conector angular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CxnSpPr>
          <a:stCxn id="4" idx="0"/>
          <a:endCxn id="11" idx="0"/>
        </xdr:cNvCxnSpPr>
      </xdr:nvCxnSpPr>
      <xdr:spPr>
        <a:xfrm rot="5400000" flipH="1" flipV="1">
          <a:off x="11144250" y="1657350"/>
          <a:ext cx="85725" cy="6543675"/>
        </a:xfrm>
        <a:prstGeom prst="bentConnector3">
          <a:avLst>
            <a:gd name="adj1" fmla="val 544444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295275</xdr:colOff>
      <xdr:row>29</xdr:row>
      <xdr:rowOff>9524</xdr:rowOff>
    </xdr:from>
    <xdr:to>
      <xdr:col>10</xdr:col>
      <xdr:colOff>304800</xdr:colOff>
      <xdr:row>34</xdr:row>
      <xdr:rowOff>152399</xdr:rowOff>
    </xdr:to>
    <xdr:cxnSp macro="">
      <xdr:nvCxnSpPr>
        <xdr:cNvPr id="30" name="Conector recto de flecha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CxnSpPr>
          <a:stCxn id="4" idx="4"/>
          <a:endCxn id="6" idx="0"/>
        </xdr:cNvCxnSpPr>
      </xdr:nvCxnSpPr>
      <xdr:spPr>
        <a:xfrm>
          <a:off x="7915275" y="5534024"/>
          <a:ext cx="9525" cy="10953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517536</xdr:colOff>
      <xdr:row>28</xdr:row>
      <xdr:rowOff>117725</xdr:rowOff>
    </xdr:from>
    <xdr:to>
      <xdr:col>13</xdr:col>
      <xdr:colOff>130164</xdr:colOff>
      <xdr:row>35</xdr:row>
      <xdr:rowOff>82298</xdr:rowOff>
    </xdr:to>
    <xdr:cxnSp macro="">
      <xdr:nvCxnSpPr>
        <xdr:cNvPr id="33" name="Conector recto de flecha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CxnSpPr>
          <a:stCxn id="4" idx="5"/>
          <a:endCxn id="8" idx="1"/>
        </xdr:cNvCxnSpPr>
      </xdr:nvCxnSpPr>
      <xdr:spPr>
        <a:xfrm>
          <a:off x="8137536" y="5451725"/>
          <a:ext cx="1898628" cy="129807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517536</xdr:colOff>
      <xdr:row>28</xdr:row>
      <xdr:rowOff>117725</xdr:rowOff>
    </xdr:from>
    <xdr:to>
      <xdr:col>15</xdr:col>
      <xdr:colOff>758814</xdr:colOff>
      <xdr:row>35</xdr:row>
      <xdr:rowOff>120398</xdr:rowOff>
    </xdr:to>
    <xdr:cxnSp macro="">
      <xdr:nvCxnSpPr>
        <xdr:cNvPr id="36" name="Conector recto de flecha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CxnSpPr>
          <a:stCxn id="4" idx="5"/>
          <a:endCxn id="10" idx="1"/>
        </xdr:cNvCxnSpPr>
      </xdr:nvCxnSpPr>
      <xdr:spPr>
        <a:xfrm>
          <a:off x="8137536" y="5451725"/>
          <a:ext cx="4051278" cy="133617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517536</xdr:colOff>
      <xdr:row>28</xdr:row>
      <xdr:rowOff>117725</xdr:rowOff>
    </xdr:from>
    <xdr:to>
      <xdr:col>18</xdr:col>
      <xdr:colOff>577839</xdr:colOff>
      <xdr:row>35</xdr:row>
      <xdr:rowOff>139448</xdr:rowOff>
    </xdr:to>
    <xdr:cxnSp macro="">
      <xdr:nvCxnSpPr>
        <xdr:cNvPr id="39" name="Conector recto de flecha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CxnSpPr>
          <a:stCxn id="4" idx="5"/>
          <a:endCxn id="12" idx="1"/>
        </xdr:cNvCxnSpPr>
      </xdr:nvCxnSpPr>
      <xdr:spPr>
        <a:xfrm>
          <a:off x="8137536" y="5451725"/>
          <a:ext cx="6156303" cy="135522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609600</xdr:colOff>
      <xdr:row>27</xdr:row>
      <xdr:rowOff>42862</xdr:rowOff>
    </xdr:from>
    <xdr:to>
      <xdr:col>15</xdr:col>
      <xdr:colOff>590550</xdr:colOff>
      <xdr:row>27</xdr:row>
      <xdr:rowOff>80962</xdr:rowOff>
    </xdr:to>
    <xdr:cxnSp macro="">
      <xdr:nvCxnSpPr>
        <xdr:cNvPr id="42" name="Conector recto de flecha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CxnSpPr/>
      </xdr:nvCxnSpPr>
      <xdr:spPr>
        <a:xfrm flipV="1">
          <a:off x="10515600" y="5186362"/>
          <a:ext cx="1504950" cy="38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527061</xdr:colOff>
      <xdr:row>28</xdr:row>
      <xdr:rowOff>98675</xdr:rowOff>
    </xdr:from>
    <xdr:to>
      <xdr:col>13</xdr:col>
      <xdr:colOff>111114</xdr:colOff>
      <xdr:row>35</xdr:row>
      <xdr:rowOff>44198</xdr:rowOff>
    </xdr:to>
    <xdr:cxnSp macro="">
      <xdr:nvCxnSpPr>
        <xdr:cNvPr id="45" name="Conector recto de flecha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CxnSpPr>
          <a:stCxn id="7" idx="3"/>
          <a:endCxn id="6" idx="7"/>
        </xdr:cNvCxnSpPr>
      </xdr:nvCxnSpPr>
      <xdr:spPr>
        <a:xfrm flipH="1">
          <a:off x="8147061" y="5432675"/>
          <a:ext cx="1870053" cy="1279023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28</xdr:row>
      <xdr:rowOff>180974</xdr:rowOff>
    </xdr:from>
    <xdr:to>
      <xdr:col>13</xdr:col>
      <xdr:colOff>352425</xdr:colOff>
      <xdr:row>34</xdr:row>
      <xdr:rowOff>190499</xdr:rowOff>
    </xdr:to>
    <xdr:cxnSp macro="">
      <xdr:nvCxnSpPr>
        <xdr:cNvPr id="48" name="Conector recto de flecha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CxnSpPr>
          <a:stCxn id="7" idx="4"/>
          <a:endCxn id="8" idx="0"/>
        </xdr:cNvCxnSpPr>
      </xdr:nvCxnSpPr>
      <xdr:spPr>
        <a:xfrm>
          <a:off x="10239375" y="5514974"/>
          <a:ext cx="19050" cy="1152525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555636</xdr:colOff>
      <xdr:row>28</xdr:row>
      <xdr:rowOff>98675</xdr:rowOff>
    </xdr:from>
    <xdr:to>
      <xdr:col>15</xdr:col>
      <xdr:colOff>758814</xdr:colOff>
      <xdr:row>35</xdr:row>
      <xdr:rowOff>120398</xdr:rowOff>
    </xdr:to>
    <xdr:cxnSp macro="">
      <xdr:nvCxnSpPr>
        <xdr:cNvPr id="51" name="Conector recto de flecha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CxnSpPr>
          <a:stCxn id="7" idx="5"/>
          <a:endCxn id="10" idx="1"/>
        </xdr:cNvCxnSpPr>
      </xdr:nvCxnSpPr>
      <xdr:spPr>
        <a:xfrm>
          <a:off x="10461636" y="5432675"/>
          <a:ext cx="1727178" cy="1355223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555636</xdr:colOff>
      <xdr:row>28</xdr:row>
      <xdr:rowOff>98675</xdr:rowOff>
    </xdr:from>
    <xdr:to>
      <xdr:col>18</xdr:col>
      <xdr:colOff>577839</xdr:colOff>
      <xdr:row>35</xdr:row>
      <xdr:rowOff>139448</xdr:rowOff>
    </xdr:to>
    <xdr:cxnSp macro="">
      <xdr:nvCxnSpPr>
        <xdr:cNvPr id="55" name="Conector recto de flecha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CxnSpPr>
          <a:stCxn id="7" idx="5"/>
          <a:endCxn id="12" idx="1"/>
        </xdr:cNvCxnSpPr>
      </xdr:nvCxnSpPr>
      <xdr:spPr>
        <a:xfrm>
          <a:off x="10461636" y="5432675"/>
          <a:ext cx="3832203" cy="1374273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25</xdr:row>
      <xdr:rowOff>190499</xdr:rowOff>
    </xdr:from>
    <xdr:to>
      <xdr:col>18</xdr:col>
      <xdr:colOff>520689</xdr:colOff>
      <xdr:row>26</xdr:row>
      <xdr:rowOff>15623</xdr:rowOff>
    </xdr:to>
    <xdr:cxnSp macro="">
      <xdr:nvCxnSpPr>
        <xdr:cNvPr id="58" name="Conector angular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CxnSpPr>
          <a:stCxn id="7" idx="0"/>
          <a:endCxn id="11" idx="1"/>
        </xdr:cNvCxnSpPr>
      </xdr:nvCxnSpPr>
      <xdr:spPr>
        <a:xfrm rot="16200000" flipH="1">
          <a:off x="12230220" y="2962154"/>
          <a:ext cx="15624" cy="3997314"/>
        </a:xfrm>
        <a:prstGeom prst="bentConnector3">
          <a:avLst>
            <a:gd name="adj1" fmla="val -975422"/>
          </a:avLst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495300</xdr:colOff>
      <xdr:row>27</xdr:row>
      <xdr:rowOff>23812</xdr:rowOff>
    </xdr:from>
    <xdr:to>
      <xdr:col>18</xdr:col>
      <xdr:colOff>428625</xdr:colOff>
      <xdr:row>27</xdr:row>
      <xdr:rowOff>52387</xdr:rowOff>
    </xdr:to>
    <xdr:cxnSp macro="">
      <xdr:nvCxnSpPr>
        <xdr:cNvPr id="63" name="Conector recto de flecha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CxnSpPr>
          <a:stCxn id="9" idx="6"/>
          <a:endCxn id="11" idx="2"/>
        </xdr:cNvCxnSpPr>
      </xdr:nvCxnSpPr>
      <xdr:spPr>
        <a:xfrm flipV="1">
          <a:off x="12687300" y="5167312"/>
          <a:ext cx="1457325" cy="28575"/>
        </a:xfrm>
        <a:prstGeom prst="straightConnector1">
          <a:avLst/>
        </a:prstGeom>
        <a:ln>
          <a:solidFill>
            <a:schemeClr val="accent6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527061</xdr:colOff>
      <xdr:row>28</xdr:row>
      <xdr:rowOff>60575</xdr:rowOff>
    </xdr:from>
    <xdr:to>
      <xdr:col>15</xdr:col>
      <xdr:colOff>720714</xdr:colOff>
      <xdr:row>35</xdr:row>
      <xdr:rowOff>44198</xdr:rowOff>
    </xdr:to>
    <xdr:cxnSp macro="">
      <xdr:nvCxnSpPr>
        <xdr:cNvPr id="66" name="Conector recto de flecha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CxnSpPr>
          <a:stCxn id="9" idx="3"/>
          <a:endCxn id="6" idx="7"/>
        </xdr:cNvCxnSpPr>
      </xdr:nvCxnSpPr>
      <xdr:spPr>
        <a:xfrm flipH="1">
          <a:off x="8147061" y="5394575"/>
          <a:ext cx="4003653" cy="1317123"/>
        </a:xfrm>
        <a:prstGeom prst="straightConnector1">
          <a:avLst/>
        </a:prstGeom>
        <a:ln>
          <a:solidFill>
            <a:schemeClr val="accent6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574686</xdr:colOff>
      <xdr:row>28</xdr:row>
      <xdr:rowOff>142874</xdr:rowOff>
    </xdr:from>
    <xdr:to>
      <xdr:col>16</xdr:col>
      <xdr:colOff>180975</xdr:colOff>
      <xdr:row>35</xdr:row>
      <xdr:rowOff>82298</xdr:rowOff>
    </xdr:to>
    <xdr:cxnSp macro="">
      <xdr:nvCxnSpPr>
        <xdr:cNvPr id="70" name="Conector recto de flecha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CxnSpPr>
          <a:stCxn id="9" idx="4"/>
          <a:endCxn id="8" idx="7"/>
        </xdr:cNvCxnSpPr>
      </xdr:nvCxnSpPr>
      <xdr:spPr>
        <a:xfrm flipH="1">
          <a:off x="10480686" y="5476874"/>
          <a:ext cx="1892289" cy="1272924"/>
        </a:xfrm>
        <a:prstGeom prst="straightConnector1">
          <a:avLst/>
        </a:prstGeom>
        <a:ln>
          <a:solidFill>
            <a:schemeClr val="accent6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180975</xdr:colOff>
      <xdr:row>28</xdr:row>
      <xdr:rowOff>142874</xdr:rowOff>
    </xdr:from>
    <xdr:to>
      <xdr:col>16</xdr:col>
      <xdr:colOff>219075</xdr:colOff>
      <xdr:row>35</xdr:row>
      <xdr:rowOff>38099</xdr:rowOff>
    </xdr:to>
    <xdr:cxnSp macro="">
      <xdr:nvCxnSpPr>
        <xdr:cNvPr id="73" name="Conector recto de flecha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CxnSpPr>
          <a:stCxn id="9" idx="4"/>
          <a:endCxn id="10" idx="0"/>
        </xdr:cNvCxnSpPr>
      </xdr:nvCxnSpPr>
      <xdr:spPr>
        <a:xfrm>
          <a:off x="12372975" y="5476874"/>
          <a:ext cx="38100" cy="1228725"/>
        </a:xfrm>
        <a:prstGeom prst="straightConnector1">
          <a:avLst/>
        </a:prstGeom>
        <a:ln>
          <a:solidFill>
            <a:schemeClr val="accent6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403236</xdr:colOff>
      <xdr:row>28</xdr:row>
      <xdr:rowOff>60575</xdr:rowOff>
    </xdr:from>
    <xdr:to>
      <xdr:col>18</xdr:col>
      <xdr:colOff>577839</xdr:colOff>
      <xdr:row>35</xdr:row>
      <xdr:rowOff>139448</xdr:rowOff>
    </xdr:to>
    <xdr:cxnSp macro="">
      <xdr:nvCxnSpPr>
        <xdr:cNvPr id="76" name="Conector recto de flecha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CxnSpPr>
          <a:stCxn id="9" idx="5"/>
          <a:endCxn id="12" idx="1"/>
        </xdr:cNvCxnSpPr>
      </xdr:nvCxnSpPr>
      <xdr:spPr>
        <a:xfrm>
          <a:off x="12595236" y="5394575"/>
          <a:ext cx="1698603" cy="1412373"/>
        </a:xfrm>
        <a:prstGeom prst="straightConnector1">
          <a:avLst/>
        </a:prstGeom>
        <a:ln>
          <a:solidFill>
            <a:schemeClr val="accent6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11</xdr:col>
      <xdr:colOff>495300</xdr:colOff>
      <xdr:row>26</xdr:row>
      <xdr:rowOff>66675</xdr:rowOff>
    </xdr:from>
    <xdr:ext cx="447675" cy="266700"/>
    <xdr:sp macro="" textlink="">
      <xdr:nvSpPr>
        <xdr:cNvPr id="79" name="CuadroTexto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 txBox="1"/>
      </xdr:nvSpPr>
      <xdr:spPr>
        <a:xfrm>
          <a:off x="8877300" y="5019675"/>
          <a:ext cx="44767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/>
            <a:t>120</a:t>
          </a:r>
        </a:p>
      </xdr:txBody>
    </xdr:sp>
    <xdr:clientData/>
  </xdr:oneCellAnchor>
  <xdr:oneCellAnchor>
    <xdr:from>
      <xdr:col>11</xdr:col>
      <xdr:colOff>581025</xdr:colOff>
      <xdr:row>23</xdr:row>
      <xdr:rowOff>85725</xdr:rowOff>
    </xdr:from>
    <xdr:ext cx="447675" cy="266700"/>
    <xdr:sp macro="" textlink="">
      <xdr:nvSpPr>
        <xdr:cNvPr id="80" name="CuadroTexto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 txBox="1"/>
      </xdr:nvSpPr>
      <xdr:spPr>
        <a:xfrm>
          <a:off x="8963025" y="4467225"/>
          <a:ext cx="44767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/>
            <a:t>150</a:t>
          </a:r>
        </a:p>
      </xdr:txBody>
    </xdr:sp>
    <xdr:clientData/>
  </xdr:oneCellAnchor>
  <xdr:oneCellAnchor>
    <xdr:from>
      <xdr:col>13</xdr:col>
      <xdr:colOff>457200</xdr:colOff>
      <xdr:row>22</xdr:row>
      <xdr:rowOff>104775</xdr:rowOff>
    </xdr:from>
    <xdr:ext cx="447675" cy="264560"/>
    <xdr:sp macro="" textlink="">
      <xdr:nvSpPr>
        <xdr:cNvPr id="81" name="CuadroTexto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 txBox="1"/>
      </xdr:nvSpPr>
      <xdr:spPr>
        <a:xfrm>
          <a:off x="10363200" y="4295775"/>
          <a:ext cx="447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/>
            <a:t>180</a:t>
          </a:r>
        </a:p>
      </xdr:txBody>
    </xdr:sp>
    <xdr:clientData/>
  </xdr:oneCellAnchor>
  <xdr:oneCellAnchor>
    <xdr:from>
      <xdr:col>9</xdr:col>
      <xdr:colOff>695325</xdr:colOff>
      <xdr:row>30</xdr:row>
      <xdr:rowOff>104775</xdr:rowOff>
    </xdr:from>
    <xdr:ext cx="333375" cy="266700"/>
    <xdr:sp macro="" textlink="">
      <xdr:nvSpPr>
        <xdr:cNvPr id="83" name="CuadroTexto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 txBox="1"/>
      </xdr:nvSpPr>
      <xdr:spPr>
        <a:xfrm>
          <a:off x="7553325" y="5819775"/>
          <a:ext cx="33337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/>
            <a:t>85</a:t>
          </a:r>
        </a:p>
      </xdr:txBody>
    </xdr:sp>
    <xdr:clientData/>
  </xdr:oneCellAnchor>
  <xdr:oneCellAnchor>
    <xdr:from>
      <xdr:col>10</xdr:col>
      <xdr:colOff>619125</xdr:colOff>
      <xdr:row>30</xdr:row>
      <xdr:rowOff>9525</xdr:rowOff>
    </xdr:from>
    <xdr:ext cx="447675" cy="264560"/>
    <xdr:sp macro="" textlink="">
      <xdr:nvSpPr>
        <xdr:cNvPr id="85" name="CuadroTexto 84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 txBox="1"/>
      </xdr:nvSpPr>
      <xdr:spPr>
        <a:xfrm>
          <a:off x="8239125" y="5724525"/>
          <a:ext cx="447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/>
            <a:t>180</a:t>
          </a:r>
        </a:p>
      </xdr:txBody>
    </xdr:sp>
    <xdr:clientData/>
  </xdr:oneCellAnchor>
  <xdr:oneCellAnchor>
    <xdr:from>
      <xdr:col>13</xdr:col>
      <xdr:colOff>428625</xdr:colOff>
      <xdr:row>31</xdr:row>
      <xdr:rowOff>123825</xdr:rowOff>
    </xdr:from>
    <xdr:ext cx="447675" cy="264560"/>
    <xdr:sp macro="" textlink="">
      <xdr:nvSpPr>
        <xdr:cNvPr id="86" name="CuadroTexto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 txBox="1"/>
      </xdr:nvSpPr>
      <xdr:spPr>
        <a:xfrm>
          <a:off x="10334625" y="6029325"/>
          <a:ext cx="447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/>
            <a:t>450</a:t>
          </a:r>
        </a:p>
      </xdr:txBody>
    </xdr:sp>
    <xdr:clientData/>
  </xdr:oneCellAnchor>
  <xdr:oneCellAnchor>
    <xdr:from>
      <xdr:col>11</xdr:col>
      <xdr:colOff>590550</xdr:colOff>
      <xdr:row>28</xdr:row>
      <xdr:rowOff>66675</xdr:rowOff>
    </xdr:from>
    <xdr:ext cx="447675" cy="264560"/>
    <xdr:sp macro="" textlink="">
      <xdr:nvSpPr>
        <xdr:cNvPr id="87" name="CuadroTexto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 txBox="1"/>
      </xdr:nvSpPr>
      <xdr:spPr>
        <a:xfrm>
          <a:off x="8972550" y="5400675"/>
          <a:ext cx="447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/>
            <a:t>100</a:t>
          </a:r>
        </a:p>
      </xdr:txBody>
    </xdr:sp>
    <xdr:clientData/>
  </xdr:oneCellAnchor>
  <xdr:oneCellAnchor>
    <xdr:from>
      <xdr:col>14</xdr:col>
      <xdr:colOff>200025</xdr:colOff>
      <xdr:row>24</xdr:row>
      <xdr:rowOff>47625</xdr:rowOff>
    </xdr:from>
    <xdr:ext cx="447675" cy="264560"/>
    <xdr:sp macro="" textlink="">
      <xdr:nvSpPr>
        <xdr:cNvPr id="88" name="CuadroTexto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 txBox="1"/>
      </xdr:nvSpPr>
      <xdr:spPr>
        <a:xfrm>
          <a:off x="10868025" y="4619625"/>
          <a:ext cx="447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chemeClr val="accent2"/>
              </a:solidFill>
            </a:rPr>
            <a:t>200</a:t>
          </a:r>
        </a:p>
      </xdr:txBody>
    </xdr:sp>
    <xdr:clientData/>
  </xdr:oneCellAnchor>
  <xdr:oneCellAnchor>
    <xdr:from>
      <xdr:col>14</xdr:col>
      <xdr:colOff>285750</xdr:colOff>
      <xdr:row>26</xdr:row>
      <xdr:rowOff>19050</xdr:rowOff>
    </xdr:from>
    <xdr:ext cx="447675" cy="264560"/>
    <xdr:sp macro="" textlink="">
      <xdr:nvSpPr>
        <xdr:cNvPr id="90" name="CuadroTexto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 txBox="1"/>
      </xdr:nvSpPr>
      <xdr:spPr>
        <a:xfrm>
          <a:off x="10953750" y="4972050"/>
          <a:ext cx="447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chemeClr val="accent2"/>
              </a:solidFill>
            </a:rPr>
            <a:t>40</a:t>
          </a:r>
        </a:p>
      </xdr:txBody>
    </xdr:sp>
    <xdr:clientData/>
  </xdr:oneCellAnchor>
  <xdr:oneCellAnchor>
    <xdr:from>
      <xdr:col>12</xdr:col>
      <xdr:colOff>352425</xdr:colOff>
      <xdr:row>28</xdr:row>
      <xdr:rowOff>66675</xdr:rowOff>
    </xdr:from>
    <xdr:ext cx="447675" cy="264560"/>
    <xdr:sp macro="" textlink="">
      <xdr:nvSpPr>
        <xdr:cNvPr id="91" name="CuadroTexto 9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 txBox="1"/>
      </xdr:nvSpPr>
      <xdr:spPr>
        <a:xfrm rot="19328669">
          <a:off x="9496425" y="5400675"/>
          <a:ext cx="447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chemeClr val="accent2"/>
              </a:solidFill>
            </a:rPr>
            <a:t>200</a:t>
          </a:r>
        </a:p>
      </xdr:txBody>
    </xdr:sp>
    <xdr:clientData/>
  </xdr:oneCellAnchor>
  <xdr:oneCellAnchor>
    <xdr:from>
      <xdr:col>13</xdr:col>
      <xdr:colOff>82033</xdr:colOff>
      <xdr:row>28</xdr:row>
      <xdr:rowOff>89417</xdr:rowOff>
    </xdr:from>
    <xdr:ext cx="264560" cy="447675"/>
    <xdr:sp macro="" textlink="">
      <xdr:nvSpPr>
        <xdr:cNvPr id="92" name="CuadroTexto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 txBox="1"/>
      </xdr:nvSpPr>
      <xdr:spPr>
        <a:xfrm rot="16722455">
          <a:off x="9896475" y="5514975"/>
          <a:ext cx="447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chemeClr val="accent2"/>
              </a:solidFill>
            </a:rPr>
            <a:t>180</a:t>
          </a:r>
        </a:p>
      </xdr:txBody>
    </xdr:sp>
    <xdr:clientData/>
  </xdr:oneCellAnchor>
  <xdr:oneCellAnchor>
    <xdr:from>
      <xdr:col>13</xdr:col>
      <xdr:colOff>457201</xdr:colOff>
      <xdr:row>28</xdr:row>
      <xdr:rowOff>180975</xdr:rowOff>
    </xdr:from>
    <xdr:ext cx="447675" cy="264560"/>
    <xdr:sp macro="" textlink="">
      <xdr:nvSpPr>
        <xdr:cNvPr id="93" name="CuadroTexto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 txBox="1"/>
      </xdr:nvSpPr>
      <xdr:spPr>
        <a:xfrm rot="2681281">
          <a:off x="10363201" y="5514975"/>
          <a:ext cx="447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chemeClr val="accent2"/>
              </a:solidFill>
            </a:rPr>
            <a:t>140</a:t>
          </a:r>
        </a:p>
      </xdr:txBody>
    </xdr:sp>
    <xdr:clientData/>
  </xdr:oneCellAnchor>
  <xdr:oneCellAnchor>
    <xdr:from>
      <xdr:col>13</xdr:col>
      <xdr:colOff>752476</xdr:colOff>
      <xdr:row>28</xdr:row>
      <xdr:rowOff>47625</xdr:rowOff>
    </xdr:from>
    <xdr:ext cx="447675" cy="264560"/>
    <xdr:sp macro="" textlink="">
      <xdr:nvSpPr>
        <xdr:cNvPr id="94" name="CuadroTexto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 txBox="1"/>
      </xdr:nvSpPr>
      <xdr:spPr>
        <a:xfrm rot="1433500">
          <a:off x="10658476" y="5381625"/>
          <a:ext cx="447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chemeClr val="accent2"/>
              </a:solidFill>
            </a:rPr>
            <a:t>100</a:t>
          </a:r>
        </a:p>
      </xdr:txBody>
    </xdr:sp>
    <xdr:clientData/>
  </xdr:oneCellAnchor>
  <xdr:oneCellAnchor>
    <xdr:from>
      <xdr:col>16</xdr:col>
      <xdr:colOff>533400</xdr:colOff>
      <xdr:row>26</xdr:row>
      <xdr:rowOff>19050</xdr:rowOff>
    </xdr:from>
    <xdr:ext cx="447675" cy="264560"/>
    <xdr:sp macro="" textlink="">
      <xdr:nvSpPr>
        <xdr:cNvPr id="97" name="CuadroTexto 96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/>
      </xdr:nvSpPr>
      <xdr:spPr>
        <a:xfrm>
          <a:off x="12725400" y="4972050"/>
          <a:ext cx="447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chemeClr val="accent6"/>
              </a:solidFill>
            </a:rPr>
            <a:t>50</a:t>
          </a:r>
        </a:p>
      </xdr:txBody>
    </xdr:sp>
    <xdr:clientData/>
  </xdr:oneCellAnchor>
  <xdr:oneCellAnchor>
    <xdr:from>
      <xdr:col>15</xdr:col>
      <xdr:colOff>180975</xdr:colOff>
      <xdr:row>27</xdr:row>
      <xdr:rowOff>152400</xdr:rowOff>
    </xdr:from>
    <xdr:ext cx="447675" cy="264560"/>
    <xdr:sp macro="" textlink="">
      <xdr:nvSpPr>
        <xdr:cNvPr id="98" name="CuadroTexto 97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 txBox="1"/>
      </xdr:nvSpPr>
      <xdr:spPr>
        <a:xfrm rot="20435195">
          <a:off x="11610975" y="5295900"/>
          <a:ext cx="447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chemeClr val="accent6"/>
              </a:solidFill>
            </a:rPr>
            <a:t>90</a:t>
          </a:r>
        </a:p>
      </xdr:txBody>
    </xdr:sp>
    <xdr:clientData/>
  </xdr:oneCellAnchor>
  <xdr:oneCellAnchor>
    <xdr:from>
      <xdr:col>15</xdr:col>
      <xdr:colOff>428625</xdr:colOff>
      <xdr:row>28</xdr:row>
      <xdr:rowOff>133350</xdr:rowOff>
    </xdr:from>
    <xdr:ext cx="447675" cy="264560"/>
    <xdr:sp macro="" textlink="">
      <xdr:nvSpPr>
        <xdr:cNvPr id="99" name="CuadroTexto 98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 txBox="1"/>
      </xdr:nvSpPr>
      <xdr:spPr>
        <a:xfrm rot="19916186">
          <a:off x="11858625" y="5467350"/>
          <a:ext cx="447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chemeClr val="accent6"/>
              </a:solidFill>
            </a:rPr>
            <a:t>120</a:t>
          </a:r>
        </a:p>
      </xdr:txBody>
    </xdr:sp>
    <xdr:clientData/>
  </xdr:oneCellAnchor>
  <xdr:oneCellAnchor>
    <xdr:from>
      <xdr:col>16</xdr:col>
      <xdr:colOff>123826</xdr:colOff>
      <xdr:row>29</xdr:row>
      <xdr:rowOff>95250</xdr:rowOff>
    </xdr:from>
    <xdr:ext cx="447675" cy="264560"/>
    <xdr:sp macro="" textlink="">
      <xdr:nvSpPr>
        <xdr:cNvPr id="100" name="CuadroTexto 99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 txBox="1"/>
      </xdr:nvSpPr>
      <xdr:spPr>
        <a:xfrm>
          <a:off x="12315826" y="5619750"/>
          <a:ext cx="447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chemeClr val="accent6"/>
              </a:solidFill>
            </a:rPr>
            <a:t>120</a:t>
          </a:r>
        </a:p>
      </xdr:txBody>
    </xdr:sp>
    <xdr:clientData/>
  </xdr:oneCellAnchor>
  <xdr:oneCellAnchor>
    <xdr:from>
      <xdr:col>16</xdr:col>
      <xdr:colOff>485775</xdr:colOff>
      <xdr:row>28</xdr:row>
      <xdr:rowOff>9527</xdr:rowOff>
    </xdr:from>
    <xdr:ext cx="447675" cy="264560"/>
    <xdr:sp macro="" textlink="">
      <xdr:nvSpPr>
        <xdr:cNvPr id="113" name="CuadroTexto 112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/>
      </xdr:nvSpPr>
      <xdr:spPr>
        <a:xfrm rot="2293655">
          <a:off x="12677775" y="5343527"/>
          <a:ext cx="447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chemeClr val="accent6"/>
              </a:solidFill>
            </a:rPr>
            <a:t>80</a:t>
          </a:r>
        </a:p>
      </xdr:txBody>
    </xdr:sp>
    <xdr:clientData/>
  </xdr:oneCellAnchor>
  <xdr:twoCellAnchor>
    <xdr:from>
      <xdr:col>10</xdr:col>
      <xdr:colOff>619125</xdr:colOff>
      <xdr:row>27</xdr:row>
      <xdr:rowOff>23812</xdr:rowOff>
    </xdr:from>
    <xdr:to>
      <xdr:col>18</xdr:col>
      <xdr:colOff>428625</xdr:colOff>
      <xdr:row>36</xdr:row>
      <xdr:rowOff>52387</xdr:rowOff>
    </xdr:to>
    <xdr:cxnSp macro="">
      <xdr:nvCxnSpPr>
        <xdr:cNvPr id="114" name="Conector recto de flecha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CxnSpPr>
          <a:stCxn id="11" idx="2"/>
          <a:endCxn id="6" idx="6"/>
        </xdr:cNvCxnSpPr>
      </xdr:nvCxnSpPr>
      <xdr:spPr>
        <a:xfrm flipH="1">
          <a:off x="8239125" y="5167312"/>
          <a:ext cx="5905500" cy="17430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666750</xdr:colOff>
      <xdr:row>28</xdr:row>
      <xdr:rowOff>32000</xdr:rowOff>
    </xdr:from>
    <xdr:to>
      <xdr:col>18</xdr:col>
      <xdr:colOff>520689</xdr:colOff>
      <xdr:row>36</xdr:row>
      <xdr:rowOff>90487</xdr:rowOff>
    </xdr:to>
    <xdr:cxnSp macro="">
      <xdr:nvCxnSpPr>
        <xdr:cNvPr id="118" name="Conector recto de flecha 117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CxnSpPr>
          <a:stCxn id="11" idx="3"/>
          <a:endCxn id="8" idx="6"/>
        </xdr:cNvCxnSpPr>
      </xdr:nvCxnSpPr>
      <xdr:spPr>
        <a:xfrm flipH="1">
          <a:off x="10572750" y="5366000"/>
          <a:ext cx="3663939" cy="158248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441336</xdr:colOff>
      <xdr:row>28</xdr:row>
      <xdr:rowOff>114299</xdr:rowOff>
    </xdr:from>
    <xdr:to>
      <xdr:col>18</xdr:col>
      <xdr:colOff>742950</xdr:colOff>
      <xdr:row>35</xdr:row>
      <xdr:rowOff>120398</xdr:rowOff>
    </xdr:to>
    <xdr:cxnSp macro="">
      <xdr:nvCxnSpPr>
        <xdr:cNvPr id="121" name="Conector recto de flecha 120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CxnSpPr>
          <a:stCxn id="11" idx="4"/>
          <a:endCxn id="10" idx="7"/>
        </xdr:cNvCxnSpPr>
      </xdr:nvCxnSpPr>
      <xdr:spPr>
        <a:xfrm flipH="1">
          <a:off x="12633336" y="5448299"/>
          <a:ext cx="1825614" cy="133959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742950</xdr:colOff>
      <xdr:row>28</xdr:row>
      <xdr:rowOff>114299</xdr:rowOff>
    </xdr:from>
    <xdr:to>
      <xdr:col>19</xdr:col>
      <xdr:colOff>38100</xdr:colOff>
      <xdr:row>35</xdr:row>
      <xdr:rowOff>57149</xdr:rowOff>
    </xdr:to>
    <xdr:cxnSp macro="">
      <xdr:nvCxnSpPr>
        <xdr:cNvPr id="124" name="Conector recto de flecha 123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CxnSpPr>
          <a:stCxn id="11" idx="4"/>
          <a:endCxn id="12" idx="0"/>
        </xdr:cNvCxnSpPr>
      </xdr:nvCxnSpPr>
      <xdr:spPr>
        <a:xfrm>
          <a:off x="14458950" y="5448299"/>
          <a:ext cx="57150" cy="12763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17</xdr:col>
      <xdr:colOff>447676</xdr:colOff>
      <xdr:row>26</xdr:row>
      <xdr:rowOff>152400</xdr:rowOff>
    </xdr:from>
    <xdr:ext cx="447675" cy="264560"/>
    <xdr:sp macro="" textlink="">
      <xdr:nvSpPr>
        <xdr:cNvPr id="129" name="CuadroTexto 128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 txBox="1"/>
      </xdr:nvSpPr>
      <xdr:spPr>
        <a:xfrm rot="20772424">
          <a:off x="13401676" y="5105400"/>
          <a:ext cx="447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rgbClr val="FF0000"/>
              </a:solidFill>
            </a:rPr>
            <a:t>20</a:t>
          </a:r>
        </a:p>
      </xdr:txBody>
    </xdr:sp>
    <xdr:clientData/>
  </xdr:oneCellAnchor>
  <xdr:oneCellAnchor>
    <xdr:from>
      <xdr:col>18</xdr:col>
      <xdr:colOff>57151</xdr:colOff>
      <xdr:row>27</xdr:row>
      <xdr:rowOff>123824</xdr:rowOff>
    </xdr:from>
    <xdr:ext cx="447675" cy="264560"/>
    <xdr:sp macro="" textlink="">
      <xdr:nvSpPr>
        <xdr:cNvPr id="130" name="CuadroTexto 129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 txBox="1"/>
      </xdr:nvSpPr>
      <xdr:spPr>
        <a:xfrm rot="20772424">
          <a:off x="13773151" y="5267324"/>
          <a:ext cx="447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rgbClr val="FF0000"/>
              </a:solidFill>
            </a:rPr>
            <a:t>110</a:t>
          </a:r>
        </a:p>
      </xdr:txBody>
    </xdr:sp>
    <xdr:clientData/>
  </xdr:oneCellAnchor>
  <xdr:oneCellAnchor>
    <xdr:from>
      <xdr:col>18</xdr:col>
      <xdr:colOff>209551</xdr:colOff>
      <xdr:row>28</xdr:row>
      <xdr:rowOff>85724</xdr:rowOff>
    </xdr:from>
    <xdr:ext cx="447675" cy="264560"/>
    <xdr:sp macro="" textlink="">
      <xdr:nvSpPr>
        <xdr:cNvPr id="131" name="CuadroTexto 130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 txBox="1"/>
      </xdr:nvSpPr>
      <xdr:spPr>
        <a:xfrm rot="19299998">
          <a:off x="13925551" y="5419724"/>
          <a:ext cx="447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rgbClr val="FF0000"/>
              </a:solidFill>
            </a:rPr>
            <a:t>200</a:t>
          </a:r>
        </a:p>
      </xdr:txBody>
    </xdr:sp>
    <xdr:clientData/>
  </xdr:oneCellAnchor>
  <xdr:oneCellAnchor>
    <xdr:from>
      <xdr:col>18</xdr:col>
      <xdr:colOff>695326</xdr:colOff>
      <xdr:row>29</xdr:row>
      <xdr:rowOff>76199</xdr:rowOff>
    </xdr:from>
    <xdr:ext cx="447675" cy="264560"/>
    <xdr:sp macro="" textlink="">
      <xdr:nvSpPr>
        <xdr:cNvPr id="132" name="CuadroTexto 131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 txBox="1"/>
      </xdr:nvSpPr>
      <xdr:spPr>
        <a:xfrm>
          <a:off x="14411326" y="5600699"/>
          <a:ext cx="447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rgbClr val="FF0000"/>
              </a:solidFill>
            </a:rPr>
            <a:t>50</a:t>
          </a:r>
        </a:p>
      </xdr:txBody>
    </xdr:sp>
    <xdr:clientData/>
  </xdr:oneCellAnchor>
  <xdr:twoCellAnchor>
    <xdr:from>
      <xdr:col>10</xdr:col>
      <xdr:colOff>619125</xdr:colOff>
      <xdr:row>36</xdr:row>
      <xdr:rowOff>52387</xdr:rowOff>
    </xdr:from>
    <xdr:to>
      <xdr:col>13</xdr:col>
      <xdr:colOff>38100</xdr:colOff>
      <xdr:row>36</xdr:row>
      <xdr:rowOff>90487</xdr:rowOff>
    </xdr:to>
    <xdr:cxnSp macro="">
      <xdr:nvCxnSpPr>
        <xdr:cNvPr id="133" name="Conector recto de flecha 132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CxnSpPr>
          <a:stCxn id="6" idx="6"/>
          <a:endCxn id="8" idx="2"/>
        </xdr:cNvCxnSpPr>
      </xdr:nvCxnSpPr>
      <xdr:spPr>
        <a:xfrm>
          <a:off x="8239125" y="6910387"/>
          <a:ext cx="1704975" cy="38100"/>
        </a:xfrm>
        <a:prstGeom prst="straightConnector1">
          <a:avLst/>
        </a:prstGeom>
        <a:ln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527060</xdr:colOff>
      <xdr:row>37</xdr:row>
      <xdr:rowOff>60575</xdr:rowOff>
    </xdr:from>
    <xdr:to>
      <xdr:col>15</xdr:col>
      <xdr:colOff>758813</xdr:colOff>
      <xdr:row>37</xdr:row>
      <xdr:rowOff>136775</xdr:rowOff>
    </xdr:to>
    <xdr:cxnSp macro="">
      <xdr:nvCxnSpPr>
        <xdr:cNvPr id="136" name="Conector angular 13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CxnSpPr>
          <a:stCxn id="6" idx="5"/>
          <a:endCxn id="10" idx="3"/>
        </xdr:cNvCxnSpPr>
      </xdr:nvCxnSpPr>
      <xdr:spPr>
        <a:xfrm rot="16200000" flipH="1">
          <a:off x="10129837" y="5126298"/>
          <a:ext cx="76200" cy="4041753"/>
        </a:xfrm>
        <a:prstGeom prst="bentConnector3">
          <a:avLst>
            <a:gd name="adj1" fmla="val 395504"/>
          </a:avLst>
        </a:prstGeom>
        <a:ln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37</xdr:row>
      <xdr:rowOff>142874</xdr:rowOff>
    </xdr:from>
    <xdr:to>
      <xdr:col>19</xdr:col>
      <xdr:colOff>38100</xdr:colOff>
      <xdr:row>38</xdr:row>
      <xdr:rowOff>47624</xdr:rowOff>
    </xdr:to>
    <xdr:cxnSp macro="">
      <xdr:nvCxnSpPr>
        <xdr:cNvPr id="140" name="Conector angular 139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CxnSpPr>
          <a:stCxn id="6" idx="4"/>
          <a:endCxn id="12" idx="4"/>
        </xdr:cNvCxnSpPr>
      </xdr:nvCxnSpPr>
      <xdr:spPr>
        <a:xfrm rot="16200000" flipH="1">
          <a:off x="11172825" y="3943349"/>
          <a:ext cx="95250" cy="6591300"/>
        </a:xfrm>
        <a:prstGeom prst="bentConnector3">
          <a:avLst>
            <a:gd name="adj1" fmla="val 340000"/>
          </a:avLst>
        </a:prstGeom>
        <a:ln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9525</xdr:colOff>
      <xdr:row>35</xdr:row>
      <xdr:rowOff>180975</xdr:rowOff>
    </xdr:from>
    <xdr:ext cx="447675" cy="266700"/>
    <xdr:sp macro="" textlink="">
      <xdr:nvSpPr>
        <xdr:cNvPr id="143" name="CuadroTexto 142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 txBox="1"/>
      </xdr:nvSpPr>
      <xdr:spPr>
        <a:xfrm>
          <a:off x="8391525" y="6848475"/>
          <a:ext cx="44767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chemeClr val="accent5">
                  <a:lumMod val="75000"/>
                </a:schemeClr>
              </a:solidFill>
            </a:rPr>
            <a:t>80</a:t>
          </a:r>
        </a:p>
      </xdr:txBody>
    </xdr:sp>
    <xdr:clientData/>
  </xdr:oneCellAnchor>
  <xdr:oneCellAnchor>
    <xdr:from>
      <xdr:col>11</xdr:col>
      <xdr:colOff>333375</xdr:colOff>
      <xdr:row>37</xdr:row>
      <xdr:rowOff>161925</xdr:rowOff>
    </xdr:from>
    <xdr:ext cx="447675" cy="266700"/>
    <xdr:sp macro="" textlink="">
      <xdr:nvSpPr>
        <xdr:cNvPr id="144" name="CuadroTexto 143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 txBox="1"/>
      </xdr:nvSpPr>
      <xdr:spPr>
        <a:xfrm>
          <a:off x="8715375" y="7210425"/>
          <a:ext cx="44767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chemeClr val="accent5">
                  <a:lumMod val="75000"/>
                </a:schemeClr>
              </a:solidFill>
            </a:rPr>
            <a:t>250</a:t>
          </a:r>
        </a:p>
      </xdr:txBody>
    </xdr:sp>
    <xdr:clientData/>
  </xdr:oneCellAnchor>
  <xdr:oneCellAnchor>
    <xdr:from>
      <xdr:col>12</xdr:col>
      <xdr:colOff>171450</xdr:colOff>
      <xdr:row>39</xdr:row>
      <xdr:rowOff>57150</xdr:rowOff>
    </xdr:from>
    <xdr:ext cx="447675" cy="266700"/>
    <xdr:sp macro="" textlink="">
      <xdr:nvSpPr>
        <xdr:cNvPr id="145" name="CuadroTexto 144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 txBox="1"/>
      </xdr:nvSpPr>
      <xdr:spPr>
        <a:xfrm>
          <a:off x="9315450" y="7486650"/>
          <a:ext cx="44767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chemeClr val="accent5">
                  <a:lumMod val="75000"/>
                </a:schemeClr>
              </a:solidFill>
            </a:rPr>
            <a:t>140</a:t>
          </a:r>
        </a:p>
      </xdr:txBody>
    </xdr:sp>
    <xdr:clientData/>
  </xdr:oneCellAnchor>
  <xdr:twoCellAnchor>
    <xdr:from>
      <xdr:col>13</xdr:col>
      <xdr:colOff>666750</xdr:colOff>
      <xdr:row>36</xdr:row>
      <xdr:rowOff>90487</xdr:rowOff>
    </xdr:from>
    <xdr:to>
      <xdr:col>15</xdr:col>
      <xdr:colOff>666750</xdr:colOff>
      <xdr:row>36</xdr:row>
      <xdr:rowOff>128587</xdr:rowOff>
    </xdr:to>
    <xdr:cxnSp macro="">
      <xdr:nvCxnSpPr>
        <xdr:cNvPr id="147" name="Conector recto de flecha 146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CxnSpPr>
          <a:stCxn id="8" idx="6"/>
          <a:endCxn id="10" idx="2"/>
        </xdr:cNvCxnSpPr>
      </xdr:nvCxnSpPr>
      <xdr:spPr>
        <a:xfrm>
          <a:off x="10572750" y="6948487"/>
          <a:ext cx="1524000" cy="38100"/>
        </a:xfrm>
        <a:prstGeom prst="straightConnector1">
          <a:avLst/>
        </a:prstGeom>
        <a:ln>
          <a:solidFill>
            <a:srgbClr val="7030A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352425</xdr:colOff>
      <xdr:row>37</xdr:row>
      <xdr:rowOff>155825</xdr:rowOff>
    </xdr:from>
    <xdr:to>
      <xdr:col>18</xdr:col>
      <xdr:colOff>577839</xdr:colOff>
      <xdr:row>37</xdr:row>
      <xdr:rowOff>180974</xdr:rowOff>
    </xdr:to>
    <xdr:cxnSp macro="">
      <xdr:nvCxnSpPr>
        <xdr:cNvPr id="150" name="Conector angular 149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CxnSpPr>
          <a:stCxn id="8" idx="4"/>
          <a:endCxn id="12" idx="3"/>
        </xdr:cNvCxnSpPr>
      </xdr:nvCxnSpPr>
      <xdr:spPr>
        <a:xfrm rot="5400000" flipH="1" flipV="1">
          <a:off x="12263557" y="5199193"/>
          <a:ext cx="25149" cy="4035414"/>
        </a:xfrm>
        <a:prstGeom prst="bentConnector3">
          <a:avLst>
            <a:gd name="adj1" fmla="val -454491"/>
          </a:avLst>
        </a:prstGeom>
        <a:ln>
          <a:solidFill>
            <a:srgbClr val="7030A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666750</xdr:colOff>
      <xdr:row>36</xdr:row>
      <xdr:rowOff>47625</xdr:rowOff>
    </xdr:from>
    <xdr:ext cx="447675" cy="266700"/>
    <xdr:sp macro="" textlink="">
      <xdr:nvSpPr>
        <xdr:cNvPr id="154" name="CuadroTexto 153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 txBox="1"/>
      </xdr:nvSpPr>
      <xdr:spPr>
        <a:xfrm>
          <a:off x="10572750" y="6905625"/>
          <a:ext cx="44767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rgbClr val="7030A0"/>
              </a:solidFill>
            </a:rPr>
            <a:t>380</a:t>
          </a:r>
        </a:p>
      </xdr:txBody>
    </xdr:sp>
    <xdr:clientData/>
  </xdr:oneCellAnchor>
  <xdr:oneCellAnchor>
    <xdr:from>
      <xdr:col>13</xdr:col>
      <xdr:colOff>704850</xdr:colOff>
      <xdr:row>37</xdr:row>
      <xdr:rowOff>85725</xdr:rowOff>
    </xdr:from>
    <xdr:ext cx="447675" cy="266700"/>
    <xdr:sp macro="" textlink="">
      <xdr:nvSpPr>
        <xdr:cNvPr id="155" name="CuadroTexto 154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 txBox="1"/>
      </xdr:nvSpPr>
      <xdr:spPr>
        <a:xfrm>
          <a:off x="10610850" y="7134225"/>
          <a:ext cx="44767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rgbClr val="7030A0"/>
              </a:solidFill>
            </a:rPr>
            <a:t>230</a:t>
          </a:r>
        </a:p>
      </xdr:txBody>
    </xdr:sp>
    <xdr:clientData/>
  </xdr:oneCellAnchor>
  <xdr:twoCellAnchor>
    <xdr:from>
      <xdr:col>16</xdr:col>
      <xdr:colOff>533400</xdr:colOff>
      <xdr:row>36</xdr:row>
      <xdr:rowOff>128587</xdr:rowOff>
    </xdr:from>
    <xdr:to>
      <xdr:col>18</xdr:col>
      <xdr:colOff>485775</xdr:colOff>
      <xdr:row>36</xdr:row>
      <xdr:rowOff>147637</xdr:rowOff>
    </xdr:to>
    <xdr:cxnSp macro="">
      <xdr:nvCxnSpPr>
        <xdr:cNvPr id="156" name="Conector recto de flecha 155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CxnSpPr>
          <a:stCxn id="10" idx="6"/>
          <a:endCxn id="12" idx="2"/>
        </xdr:cNvCxnSpPr>
      </xdr:nvCxnSpPr>
      <xdr:spPr>
        <a:xfrm>
          <a:off x="12725400" y="6986587"/>
          <a:ext cx="1476375" cy="19050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514350</xdr:colOff>
      <xdr:row>35</xdr:row>
      <xdr:rowOff>85725</xdr:rowOff>
    </xdr:from>
    <xdr:ext cx="447675" cy="266700"/>
    <xdr:sp macro="" textlink="">
      <xdr:nvSpPr>
        <xdr:cNvPr id="160" name="CuadroTexto 159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 txBox="1"/>
      </xdr:nvSpPr>
      <xdr:spPr>
        <a:xfrm>
          <a:off x="12706350" y="6753225"/>
          <a:ext cx="44767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rgbClr val="FFC000"/>
              </a:solidFill>
            </a:rPr>
            <a:t>20</a:t>
          </a:r>
        </a:p>
      </xdr:txBody>
    </xdr:sp>
    <xdr:clientData/>
  </xdr:oneCellAnchor>
  <xdr:twoCellAnchor>
    <xdr:from>
      <xdr:col>9</xdr:col>
      <xdr:colOff>742950</xdr:colOff>
      <xdr:row>62</xdr:row>
      <xdr:rowOff>19049</xdr:rowOff>
    </xdr:from>
    <xdr:to>
      <xdr:col>10</xdr:col>
      <xdr:colOff>609600</xdr:colOff>
      <xdr:row>65</xdr:row>
      <xdr:rowOff>9524</xdr:rowOff>
    </xdr:to>
    <xdr:sp macro="" textlink="">
      <xdr:nvSpPr>
        <xdr:cNvPr id="161" name="Elipse 160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/>
      </xdr:nvSpPr>
      <xdr:spPr>
        <a:xfrm>
          <a:off x="7600950" y="4972049"/>
          <a:ext cx="628650" cy="5619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Y" sz="1800"/>
            <a:t>1</a:t>
          </a:r>
          <a:endParaRPr lang="es-PY" sz="1100"/>
        </a:p>
      </xdr:txBody>
    </xdr:sp>
    <xdr:clientData/>
  </xdr:twoCellAnchor>
  <xdr:twoCellAnchor>
    <xdr:from>
      <xdr:col>18</xdr:col>
      <xdr:colOff>204788</xdr:colOff>
      <xdr:row>61</xdr:row>
      <xdr:rowOff>140493</xdr:rowOff>
    </xdr:from>
    <xdr:to>
      <xdr:col>19</xdr:col>
      <xdr:colOff>71438</xdr:colOff>
      <xdr:row>64</xdr:row>
      <xdr:rowOff>130968</xdr:rowOff>
    </xdr:to>
    <xdr:sp macro="" textlink="">
      <xdr:nvSpPr>
        <xdr:cNvPr id="162" name="Elipse 161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/>
      </xdr:nvSpPr>
      <xdr:spPr>
        <a:xfrm>
          <a:off x="13920788" y="11915774"/>
          <a:ext cx="628650" cy="5619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Y" sz="1800"/>
            <a:t>5</a:t>
          </a:r>
          <a:endParaRPr lang="es-PY" sz="1100"/>
        </a:p>
      </xdr:txBody>
    </xdr:sp>
    <xdr:clientData/>
  </xdr:twoCellAnchor>
  <xdr:twoCellAnchor>
    <xdr:from>
      <xdr:col>13</xdr:col>
      <xdr:colOff>19050</xdr:colOff>
      <xdr:row>61</xdr:row>
      <xdr:rowOff>190499</xdr:rowOff>
    </xdr:from>
    <xdr:to>
      <xdr:col>13</xdr:col>
      <xdr:colOff>647700</xdr:colOff>
      <xdr:row>64</xdr:row>
      <xdr:rowOff>180974</xdr:rowOff>
    </xdr:to>
    <xdr:sp macro="" textlink="">
      <xdr:nvSpPr>
        <xdr:cNvPr id="163" name="Elipse 162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/>
      </xdr:nvSpPr>
      <xdr:spPr>
        <a:xfrm>
          <a:off x="9925050" y="4952999"/>
          <a:ext cx="628650" cy="5619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Y" sz="1800"/>
            <a:t>2</a:t>
          </a:r>
          <a:endParaRPr lang="es-PY" sz="1100"/>
        </a:p>
      </xdr:txBody>
    </xdr:sp>
    <xdr:clientData/>
  </xdr:twoCellAnchor>
  <xdr:twoCellAnchor>
    <xdr:from>
      <xdr:col>16</xdr:col>
      <xdr:colOff>609310</xdr:colOff>
      <xdr:row>70</xdr:row>
      <xdr:rowOff>119037</xdr:rowOff>
    </xdr:from>
    <xdr:to>
      <xdr:col>17</xdr:col>
      <xdr:colOff>475960</xdr:colOff>
      <xdr:row>73</xdr:row>
      <xdr:rowOff>112064</xdr:rowOff>
    </xdr:to>
    <xdr:sp macro="" textlink="">
      <xdr:nvSpPr>
        <xdr:cNvPr id="164" name="Elipse 163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/>
      </xdr:nvSpPr>
      <xdr:spPr>
        <a:xfrm>
          <a:off x="12875651" y="13291415"/>
          <a:ext cx="633297" cy="55058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Y" sz="1800"/>
            <a:t>6</a:t>
          </a:r>
          <a:endParaRPr lang="es-PY" sz="1100"/>
        </a:p>
      </xdr:txBody>
    </xdr:sp>
    <xdr:clientData/>
  </xdr:twoCellAnchor>
  <xdr:twoCellAnchor>
    <xdr:from>
      <xdr:col>15</xdr:col>
      <xdr:colOff>628650</xdr:colOff>
      <xdr:row>61</xdr:row>
      <xdr:rowOff>152399</xdr:rowOff>
    </xdr:from>
    <xdr:to>
      <xdr:col>16</xdr:col>
      <xdr:colOff>495300</xdr:colOff>
      <xdr:row>64</xdr:row>
      <xdr:rowOff>142874</xdr:rowOff>
    </xdr:to>
    <xdr:sp macro="" textlink="">
      <xdr:nvSpPr>
        <xdr:cNvPr id="165" name="Elipse 164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/>
      </xdr:nvSpPr>
      <xdr:spPr>
        <a:xfrm>
          <a:off x="12058650" y="4914899"/>
          <a:ext cx="628650" cy="5619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Y" sz="1800"/>
            <a:t>3</a:t>
          </a:r>
          <a:endParaRPr lang="es-PY" sz="1100"/>
        </a:p>
      </xdr:txBody>
    </xdr:sp>
    <xdr:clientData/>
  </xdr:twoCellAnchor>
  <xdr:twoCellAnchor>
    <xdr:from>
      <xdr:col>13</xdr:col>
      <xdr:colOff>59531</xdr:colOff>
      <xdr:row>70</xdr:row>
      <xdr:rowOff>180974</xdr:rowOff>
    </xdr:from>
    <xdr:to>
      <xdr:col>13</xdr:col>
      <xdr:colOff>688181</xdr:colOff>
      <xdr:row>73</xdr:row>
      <xdr:rowOff>171449</xdr:rowOff>
    </xdr:to>
    <xdr:sp macro="" textlink="">
      <xdr:nvSpPr>
        <xdr:cNvPr id="166" name="Elipse 165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/>
      </xdr:nvSpPr>
      <xdr:spPr>
        <a:xfrm>
          <a:off x="9965531" y="13670755"/>
          <a:ext cx="628650" cy="5619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Y" sz="1800"/>
            <a:t>7</a:t>
          </a:r>
          <a:endParaRPr lang="es-PY" sz="1100"/>
        </a:p>
      </xdr:txBody>
    </xdr:sp>
    <xdr:clientData/>
  </xdr:twoCellAnchor>
  <xdr:twoCellAnchor>
    <xdr:from>
      <xdr:col>9</xdr:col>
      <xdr:colOff>738188</xdr:colOff>
      <xdr:row>71</xdr:row>
      <xdr:rowOff>76199</xdr:rowOff>
    </xdr:from>
    <xdr:to>
      <xdr:col>10</xdr:col>
      <xdr:colOff>604838</xdr:colOff>
      <xdr:row>74</xdr:row>
      <xdr:rowOff>66674</xdr:rowOff>
    </xdr:to>
    <xdr:sp macro="" textlink="">
      <xdr:nvSpPr>
        <xdr:cNvPr id="167" name="Elipse 166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/>
      </xdr:nvSpPr>
      <xdr:spPr>
        <a:xfrm>
          <a:off x="7596188" y="13756480"/>
          <a:ext cx="628650" cy="5619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Y" sz="1800"/>
            <a:t>4</a:t>
          </a:r>
          <a:endParaRPr lang="es-PY" sz="1100"/>
        </a:p>
      </xdr:txBody>
    </xdr:sp>
    <xdr:clientData/>
  </xdr:twoCellAnchor>
  <xdr:twoCellAnchor>
    <xdr:from>
      <xdr:col>18</xdr:col>
      <xdr:colOff>485775</xdr:colOff>
      <xdr:row>71</xdr:row>
      <xdr:rowOff>57149</xdr:rowOff>
    </xdr:from>
    <xdr:to>
      <xdr:col>19</xdr:col>
      <xdr:colOff>352425</xdr:colOff>
      <xdr:row>74</xdr:row>
      <xdr:rowOff>47624</xdr:rowOff>
    </xdr:to>
    <xdr:sp macro="" textlink="">
      <xdr:nvSpPr>
        <xdr:cNvPr id="168" name="Elipse 167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/>
      </xdr:nvSpPr>
      <xdr:spPr>
        <a:xfrm>
          <a:off x="14201775" y="6724649"/>
          <a:ext cx="628650" cy="5619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Y" sz="1800"/>
            <a:t>8</a:t>
          </a:r>
          <a:endParaRPr lang="es-PY" sz="1100"/>
        </a:p>
      </xdr:txBody>
    </xdr:sp>
    <xdr:clientData/>
  </xdr:twoCellAnchor>
  <xdr:twoCellAnchor>
    <xdr:from>
      <xdr:col>10</xdr:col>
      <xdr:colOff>609600</xdr:colOff>
      <xdr:row>63</xdr:row>
      <xdr:rowOff>90487</xdr:rowOff>
    </xdr:from>
    <xdr:to>
      <xdr:col>13</xdr:col>
      <xdr:colOff>19050</xdr:colOff>
      <xdr:row>63</xdr:row>
      <xdr:rowOff>109537</xdr:rowOff>
    </xdr:to>
    <xdr:cxnSp macro="">
      <xdr:nvCxnSpPr>
        <xdr:cNvPr id="169" name="Conector recto de flecha 168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CxnSpPr>
          <a:stCxn id="161" idx="6"/>
          <a:endCxn id="163" idx="2"/>
        </xdr:cNvCxnSpPr>
      </xdr:nvCxnSpPr>
      <xdr:spPr>
        <a:xfrm flipV="1">
          <a:off x="8229600" y="5233987"/>
          <a:ext cx="169545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517536</xdr:colOff>
      <xdr:row>61</xdr:row>
      <xdr:rowOff>152400</xdr:rowOff>
    </xdr:from>
    <xdr:to>
      <xdr:col>16</xdr:col>
      <xdr:colOff>180975</xdr:colOff>
      <xdr:row>62</xdr:row>
      <xdr:rowOff>101349</xdr:rowOff>
    </xdr:to>
    <xdr:cxnSp macro="">
      <xdr:nvCxnSpPr>
        <xdr:cNvPr id="170" name="Conector angular 169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CxnSpPr>
          <a:stCxn id="161" idx="7"/>
          <a:endCxn id="165" idx="0"/>
        </xdr:cNvCxnSpPr>
      </xdr:nvCxnSpPr>
      <xdr:spPr>
        <a:xfrm rot="5400000" flipH="1" flipV="1">
          <a:off x="10185531" y="2866905"/>
          <a:ext cx="139449" cy="4235439"/>
        </a:xfrm>
        <a:prstGeom prst="bentConnector3">
          <a:avLst>
            <a:gd name="adj1" fmla="val 284422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290513</xdr:colOff>
      <xdr:row>62</xdr:row>
      <xdr:rowOff>19049</xdr:rowOff>
    </xdr:from>
    <xdr:to>
      <xdr:col>10</xdr:col>
      <xdr:colOff>295275</xdr:colOff>
      <xdr:row>71</xdr:row>
      <xdr:rowOff>76199</xdr:rowOff>
    </xdr:to>
    <xdr:cxnSp macro="">
      <xdr:nvCxnSpPr>
        <xdr:cNvPr id="171" name="Conector angular 170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CxnSpPr>
          <a:stCxn id="161" idx="0"/>
          <a:endCxn id="167" idx="0"/>
        </xdr:cNvCxnSpPr>
      </xdr:nvCxnSpPr>
      <xdr:spPr>
        <a:xfrm rot="16200000" flipH="1" flipV="1">
          <a:off x="7027069" y="12868274"/>
          <a:ext cx="1771650" cy="4762"/>
        </a:xfrm>
        <a:prstGeom prst="bentConnector5">
          <a:avLst>
            <a:gd name="adj1" fmla="val -12903"/>
            <a:gd name="adj2" fmla="val -11401197"/>
            <a:gd name="adj3" fmla="val 6586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295275</xdr:colOff>
      <xdr:row>61</xdr:row>
      <xdr:rowOff>140493</xdr:rowOff>
    </xdr:from>
    <xdr:to>
      <xdr:col>18</xdr:col>
      <xdr:colOff>519113</xdr:colOff>
      <xdr:row>65</xdr:row>
      <xdr:rowOff>9524</xdr:rowOff>
    </xdr:to>
    <xdr:cxnSp macro="">
      <xdr:nvCxnSpPr>
        <xdr:cNvPr id="172" name="Conector recto de flecha 171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CxnSpPr>
          <a:stCxn id="161" idx="4"/>
          <a:endCxn id="162" idx="0"/>
        </xdr:cNvCxnSpPr>
      </xdr:nvCxnSpPr>
      <xdr:spPr>
        <a:xfrm flipV="1">
          <a:off x="7915275" y="11915774"/>
          <a:ext cx="6319838" cy="63103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516856</xdr:colOff>
      <xdr:row>64</xdr:row>
      <xdr:rowOff>115120</xdr:rowOff>
    </xdr:from>
    <xdr:to>
      <xdr:col>16</xdr:col>
      <xdr:colOff>702054</xdr:colOff>
      <xdr:row>71</xdr:row>
      <xdr:rowOff>13815</xdr:rowOff>
    </xdr:to>
    <xdr:cxnSp macro="">
      <xdr:nvCxnSpPr>
        <xdr:cNvPr id="173" name="Conector recto de flecha 172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CxnSpPr>
          <a:stCxn id="161" idx="5"/>
          <a:endCxn id="164" idx="1"/>
        </xdr:cNvCxnSpPr>
      </xdr:nvCxnSpPr>
      <xdr:spPr>
        <a:xfrm>
          <a:off x="8183319" y="12172376"/>
          <a:ext cx="4785076" cy="119967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517536</xdr:colOff>
      <xdr:row>64</xdr:row>
      <xdr:rowOff>117725</xdr:rowOff>
    </xdr:from>
    <xdr:to>
      <xdr:col>13</xdr:col>
      <xdr:colOff>151595</xdr:colOff>
      <xdr:row>71</xdr:row>
      <xdr:rowOff>72773</xdr:rowOff>
    </xdr:to>
    <xdr:cxnSp macro="">
      <xdr:nvCxnSpPr>
        <xdr:cNvPr id="174" name="Conector recto de flecha 173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CxnSpPr>
          <a:stCxn id="161" idx="5"/>
          <a:endCxn id="166" idx="1"/>
        </xdr:cNvCxnSpPr>
      </xdr:nvCxnSpPr>
      <xdr:spPr>
        <a:xfrm>
          <a:off x="8137536" y="12464506"/>
          <a:ext cx="1920059" cy="128854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517536</xdr:colOff>
      <xdr:row>64</xdr:row>
      <xdr:rowOff>117725</xdr:rowOff>
    </xdr:from>
    <xdr:to>
      <xdr:col>18</xdr:col>
      <xdr:colOff>577839</xdr:colOff>
      <xdr:row>71</xdr:row>
      <xdr:rowOff>139448</xdr:rowOff>
    </xdr:to>
    <xdr:cxnSp macro="">
      <xdr:nvCxnSpPr>
        <xdr:cNvPr id="175" name="Conector recto de flecha 174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CxnSpPr>
          <a:stCxn id="161" idx="5"/>
          <a:endCxn id="168" idx="1"/>
        </xdr:cNvCxnSpPr>
      </xdr:nvCxnSpPr>
      <xdr:spPr>
        <a:xfrm>
          <a:off x="8137536" y="5451725"/>
          <a:ext cx="6156303" cy="135522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609600</xdr:colOff>
      <xdr:row>63</xdr:row>
      <xdr:rowOff>42862</xdr:rowOff>
    </xdr:from>
    <xdr:to>
      <xdr:col>15</xdr:col>
      <xdr:colOff>590550</xdr:colOff>
      <xdr:row>63</xdr:row>
      <xdr:rowOff>80962</xdr:rowOff>
    </xdr:to>
    <xdr:cxnSp macro="">
      <xdr:nvCxnSpPr>
        <xdr:cNvPr id="176" name="Conector recto de flecha 175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CxnSpPr/>
      </xdr:nvCxnSpPr>
      <xdr:spPr>
        <a:xfrm flipV="1">
          <a:off x="10515600" y="5186362"/>
          <a:ext cx="1504950" cy="38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111114</xdr:colOff>
      <xdr:row>62</xdr:row>
      <xdr:rowOff>32292</xdr:rowOff>
    </xdr:from>
    <xdr:to>
      <xdr:col>18</xdr:col>
      <xdr:colOff>741374</xdr:colOff>
      <xdr:row>64</xdr:row>
      <xdr:rowOff>98675</xdr:rowOff>
    </xdr:to>
    <xdr:cxnSp macro="">
      <xdr:nvCxnSpPr>
        <xdr:cNvPr id="177" name="Conector recto de flecha 176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CxnSpPr>
          <a:stCxn id="163" idx="3"/>
          <a:endCxn id="162" idx="7"/>
        </xdr:cNvCxnSpPr>
      </xdr:nvCxnSpPr>
      <xdr:spPr>
        <a:xfrm flipV="1">
          <a:off x="10017114" y="11998073"/>
          <a:ext cx="4440260" cy="447383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64</xdr:row>
      <xdr:rowOff>180974</xdr:rowOff>
    </xdr:from>
    <xdr:to>
      <xdr:col>17</xdr:col>
      <xdr:colOff>159312</xdr:colOff>
      <xdr:row>70</xdr:row>
      <xdr:rowOff>119037</xdr:rowOff>
    </xdr:to>
    <xdr:cxnSp macro="">
      <xdr:nvCxnSpPr>
        <xdr:cNvPr id="178" name="Conector recto de flecha 177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CxnSpPr>
          <a:stCxn id="163" idx="4"/>
          <a:endCxn id="164" idx="0"/>
        </xdr:cNvCxnSpPr>
      </xdr:nvCxnSpPr>
      <xdr:spPr>
        <a:xfrm>
          <a:off x="10299777" y="12238230"/>
          <a:ext cx="2892523" cy="1053185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151595</xdr:colOff>
      <xdr:row>64</xdr:row>
      <xdr:rowOff>98675</xdr:rowOff>
    </xdr:from>
    <xdr:to>
      <xdr:col>13</xdr:col>
      <xdr:colOff>555636</xdr:colOff>
      <xdr:row>71</xdr:row>
      <xdr:rowOff>72773</xdr:rowOff>
    </xdr:to>
    <xdr:cxnSp macro="">
      <xdr:nvCxnSpPr>
        <xdr:cNvPr id="179" name="Conector recto de flecha 178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CxnSpPr>
          <a:stCxn id="163" idx="5"/>
          <a:endCxn id="166" idx="1"/>
        </xdr:cNvCxnSpPr>
      </xdr:nvCxnSpPr>
      <xdr:spPr>
        <a:xfrm flipH="1">
          <a:off x="10057595" y="12445456"/>
          <a:ext cx="404041" cy="1307598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555636</xdr:colOff>
      <xdr:row>64</xdr:row>
      <xdr:rowOff>98675</xdr:rowOff>
    </xdr:from>
    <xdr:to>
      <xdr:col>18</xdr:col>
      <xdr:colOff>577839</xdr:colOff>
      <xdr:row>71</xdr:row>
      <xdr:rowOff>139448</xdr:rowOff>
    </xdr:to>
    <xdr:cxnSp macro="">
      <xdr:nvCxnSpPr>
        <xdr:cNvPr id="180" name="Conector recto de flecha 179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CxnSpPr>
          <a:stCxn id="163" idx="5"/>
          <a:endCxn id="168" idx="1"/>
        </xdr:cNvCxnSpPr>
      </xdr:nvCxnSpPr>
      <xdr:spPr>
        <a:xfrm>
          <a:off x="10461636" y="5432675"/>
          <a:ext cx="3832203" cy="1374273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68252</xdr:colOff>
      <xdr:row>61</xdr:row>
      <xdr:rowOff>190498</xdr:rowOff>
    </xdr:from>
    <xdr:to>
      <xdr:col>13</xdr:col>
      <xdr:colOff>333375</xdr:colOff>
      <xdr:row>71</xdr:row>
      <xdr:rowOff>158497</xdr:rowOff>
    </xdr:to>
    <xdr:cxnSp macro="">
      <xdr:nvCxnSpPr>
        <xdr:cNvPr id="181" name="Conector angular 180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CxnSpPr>
          <a:stCxn id="163" idx="0"/>
          <a:endCxn id="167" idx="1"/>
        </xdr:cNvCxnSpPr>
      </xdr:nvCxnSpPr>
      <xdr:spPr>
        <a:xfrm rot="16200000" flipH="1" flipV="1">
          <a:off x="8027314" y="11626717"/>
          <a:ext cx="1872999" cy="2551123"/>
        </a:xfrm>
        <a:prstGeom prst="bentConnector3">
          <a:avLst>
            <a:gd name="adj1" fmla="val -12205"/>
          </a:avLst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738188</xdr:colOff>
      <xdr:row>63</xdr:row>
      <xdr:rowOff>52387</xdr:rowOff>
    </xdr:from>
    <xdr:to>
      <xdr:col>16</xdr:col>
      <xdr:colOff>495300</xdr:colOff>
      <xdr:row>72</xdr:row>
      <xdr:rowOff>166687</xdr:rowOff>
    </xdr:to>
    <xdr:cxnSp macro="">
      <xdr:nvCxnSpPr>
        <xdr:cNvPr id="182" name="Conector recto de flecha 181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CxnSpPr>
          <a:stCxn id="165" idx="6"/>
          <a:endCxn id="167" idx="2"/>
        </xdr:cNvCxnSpPr>
      </xdr:nvCxnSpPr>
      <xdr:spPr>
        <a:xfrm flipH="1">
          <a:off x="7596188" y="12208668"/>
          <a:ext cx="5091112" cy="1828800"/>
        </a:xfrm>
        <a:prstGeom prst="straightConnector1">
          <a:avLst/>
        </a:prstGeom>
        <a:ln>
          <a:solidFill>
            <a:schemeClr val="accent6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720714</xdr:colOff>
      <xdr:row>62</xdr:row>
      <xdr:rowOff>32292</xdr:rowOff>
    </xdr:from>
    <xdr:to>
      <xdr:col>18</xdr:col>
      <xdr:colOff>741374</xdr:colOff>
      <xdr:row>64</xdr:row>
      <xdr:rowOff>60575</xdr:rowOff>
    </xdr:to>
    <xdr:cxnSp macro="">
      <xdr:nvCxnSpPr>
        <xdr:cNvPr id="183" name="Conector recto de flecha 182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CxnSpPr>
          <a:stCxn id="165" idx="3"/>
          <a:endCxn id="162" idx="7"/>
        </xdr:cNvCxnSpPr>
      </xdr:nvCxnSpPr>
      <xdr:spPr>
        <a:xfrm flipV="1">
          <a:off x="12150714" y="11998073"/>
          <a:ext cx="2306660" cy="409283"/>
        </a:xfrm>
        <a:prstGeom prst="straightConnector1">
          <a:avLst/>
        </a:prstGeom>
        <a:ln>
          <a:solidFill>
            <a:schemeClr val="accent6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178652</xdr:colOff>
      <xdr:row>64</xdr:row>
      <xdr:rowOff>142874</xdr:rowOff>
    </xdr:from>
    <xdr:to>
      <xdr:col>17</xdr:col>
      <xdr:colOff>383216</xdr:colOff>
      <xdr:row>71</xdr:row>
      <xdr:rowOff>13815</xdr:rowOff>
    </xdr:to>
    <xdr:cxnSp macro="">
      <xdr:nvCxnSpPr>
        <xdr:cNvPr id="184" name="Conector recto de flecha 183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CxnSpPr>
          <a:stCxn id="165" idx="4"/>
          <a:endCxn id="164" idx="7"/>
        </xdr:cNvCxnSpPr>
      </xdr:nvCxnSpPr>
      <xdr:spPr>
        <a:xfrm>
          <a:off x="12444993" y="12200130"/>
          <a:ext cx="971211" cy="1171917"/>
        </a:xfrm>
        <a:prstGeom prst="straightConnector1">
          <a:avLst/>
        </a:prstGeom>
        <a:ln>
          <a:solidFill>
            <a:schemeClr val="accent6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373856</xdr:colOff>
      <xdr:row>64</xdr:row>
      <xdr:rowOff>142874</xdr:rowOff>
    </xdr:from>
    <xdr:to>
      <xdr:col>16</xdr:col>
      <xdr:colOff>180975</xdr:colOff>
      <xdr:row>70</xdr:row>
      <xdr:rowOff>180974</xdr:rowOff>
    </xdr:to>
    <xdr:cxnSp macro="">
      <xdr:nvCxnSpPr>
        <xdr:cNvPr id="185" name="Conector recto de flecha 184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CxnSpPr>
          <a:stCxn id="165" idx="4"/>
          <a:endCxn id="166" idx="0"/>
        </xdr:cNvCxnSpPr>
      </xdr:nvCxnSpPr>
      <xdr:spPr>
        <a:xfrm flipH="1">
          <a:off x="10279856" y="12489655"/>
          <a:ext cx="2093119" cy="1181100"/>
        </a:xfrm>
        <a:prstGeom prst="straightConnector1">
          <a:avLst/>
        </a:prstGeom>
        <a:ln>
          <a:solidFill>
            <a:schemeClr val="accent6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403236</xdr:colOff>
      <xdr:row>64</xdr:row>
      <xdr:rowOff>60575</xdr:rowOff>
    </xdr:from>
    <xdr:to>
      <xdr:col>18</xdr:col>
      <xdr:colOff>577839</xdr:colOff>
      <xdr:row>71</xdr:row>
      <xdr:rowOff>139448</xdr:rowOff>
    </xdr:to>
    <xdr:cxnSp macro="">
      <xdr:nvCxnSpPr>
        <xdr:cNvPr id="186" name="Conector recto de flecha 185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CxnSpPr>
          <a:stCxn id="165" idx="5"/>
          <a:endCxn id="168" idx="1"/>
        </xdr:cNvCxnSpPr>
      </xdr:nvCxnSpPr>
      <xdr:spPr>
        <a:xfrm>
          <a:off x="12595236" y="5394575"/>
          <a:ext cx="1698603" cy="1412373"/>
        </a:xfrm>
        <a:prstGeom prst="straightConnector1">
          <a:avLst/>
        </a:prstGeom>
        <a:ln>
          <a:solidFill>
            <a:schemeClr val="accent6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11</xdr:col>
      <xdr:colOff>495300</xdr:colOff>
      <xdr:row>62</xdr:row>
      <xdr:rowOff>66675</xdr:rowOff>
    </xdr:from>
    <xdr:ext cx="447675" cy="266700"/>
    <xdr:sp macro="" textlink="">
      <xdr:nvSpPr>
        <xdr:cNvPr id="187" name="CuadroTexto 186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 txBox="1"/>
      </xdr:nvSpPr>
      <xdr:spPr>
        <a:xfrm>
          <a:off x="8877300" y="5019675"/>
          <a:ext cx="44767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/>
            <a:t>120</a:t>
          </a:r>
        </a:p>
      </xdr:txBody>
    </xdr:sp>
    <xdr:clientData/>
  </xdr:oneCellAnchor>
  <xdr:oneCellAnchor>
    <xdr:from>
      <xdr:col>11</xdr:col>
      <xdr:colOff>581025</xdr:colOff>
      <xdr:row>59</xdr:row>
      <xdr:rowOff>85725</xdr:rowOff>
    </xdr:from>
    <xdr:ext cx="447675" cy="266700"/>
    <xdr:sp macro="" textlink="">
      <xdr:nvSpPr>
        <xdr:cNvPr id="188" name="CuadroTexto 187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 txBox="1"/>
      </xdr:nvSpPr>
      <xdr:spPr>
        <a:xfrm>
          <a:off x="8963025" y="4467225"/>
          <a:ext cx="44767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/>
            <a:t>150</a:t>
          </a:r>
        </a:p>
      </xdr:txBody>
    </xdr:sp>
    <xdr:clientData/>
  </xdr:oneCellAnchor>
  <xdr:oneCellAnchor>
    <xdr:from>
      <xdr:col>13</xdr:col>
      <xdr:colOff>457200</xdr:colOff>
      <xdr:row>58</xdr:row>
      <xdr:rowOff>104775</xdr:rowOff>
    </xdr:from>
    <xdr:ext cx="447675" cy="264560"/>
    <xdr:sp macro="" textlink="">
      <xdr:nvSpPr>
        <xdr:cNvPr id="189" name="CuadroTexto 188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 txBox="1"/>
      </xdr:nvSpPr>
      <xdr:spPr>
        <a:xfrm>
          <a:off x="10363200" y="4295775"/>
          <a:ext cx="447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/>
            <a:t>180</a:t>
          </a:r>
        </a:p>
      </xdr:txBody>
    </xdr:sp>
    <xdr:clientData/>
  </xdr:oneCellAnchor>
  <xdr:oneCellAnchor>
    <xdr:from>
      <xdr:col>9</xdr:col>
      <xdr:colOff>695325</xdr:colOff>
      <xdr:row>66</xdr:row>
      <xdr:rowOff>104775</xdr:rowOff>
    </xdr:from>
    <xdr:ext cx="333375" cy="266700"/>
    <xdr:sp macro="" textlink="">
      <xdr:nvSpPr>
        <xdr:cNvPr id="190" name="CuadroTexto 189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 txBox="1"/>
      </xdr:nvSpPr>
      <xdr:spPr>
        <a:xfrm>
          <a:off x="7553325" y="5819775"/>
          <a:ext cx="33337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/>
            <a:t>85</a:t>
          </a:r>
        </a:p>
      </xdr:txBody>
    </xdr:sp>
    <xdr:clientData/>
  </xdr:oneCellAnchor>
  <xdr:oneCellAnchor>
    <xdr:from>
      <xdr:col>10</xdr:col>
      <xdr:colOff>619125</xdr:colOff>
      <xdr:row>66</xdr:row>
      <xdr:rowOff>9525</xdr:rowOff>
    </xdr:from>
    <xdr:ext cx="447675" cy="264560"/>
    <xdr:sp macro="" textlink="">
      <xdr:nvSpPr>
        <xdr:cNvPr id="191" name="CuadroTexto 190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 txBox="1"/>
      </xdr:nvSpPr>
      <xdr:spPr>
        <a:xfrm>
          <a:off x="8239125" y="5724525"/>
          <a:ext cx="447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/>
            <a:t>180</a:t>
          </a:r>
        </a:p>
      </xdr:txBody>
    </xdr:sp>
    <xdr:clientData/>
  </xdr:oneCellAnchor>
  <xdr:oneCellAnchor>
    <xdr:from>
      <xdr:col>13</xdr:col>
      <xdr:colOff>428625</xdr:colOff>
      <xdr:row>67</xdr:row>
      <xdr:rowOff>123825</xdr:rowOff>
    </xdr:from>
    <xdr:ext cx="447675" cy="264560"/>
    <xdr:sp macro="" textlink="">
      <xdr:nvSpPr>
        <xdr:cNvPr id="192" name="CuadroTexto 191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 txBox="1"/>
      </xdr:nvSpPr>
      <xdr:spPr>
        <a:xfrm>
          <a:off x="10334625" y="6029325"/>
          <a:ext cx="447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/>
            <a:t>450</a:t>
          </a:r>
        </a:p>
      </xdr:txBody>
    </xdr:sp>
    <xdr:clientData/>
  </xdr:oneCellAnchor>
  <xdr:oneCellAnchor>
    <xdr:from>
      <xdr:col>11</xdr:col>
      <xdr:colOff>590550</xdr:colOff>
      <xdr:row>64</xdr:row>
      <xdr:rowOff>66675</xdr:rowOff>
    </xdr:from>
    <xdr:ext cx="447675" cy="264560"/>
    <xdr:sp macro="" textlink="">
      <xdr:nvSpPr>
        <xdr:cNvPr id="193" name="CuadroTexto 192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 txBox="1"/>
      </xdr:nvSpPr>
      <xdr:spPr>
        <a:xfrm>
          <a:off x="8972550" y="5400675"/>
          <a:ext cx="447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/>
            <a:t>100</a:t>
          </a:r>
        </a:p>
      </xdr:txBody>
    </xdr:sp>
    <xdr:clientData/>
  </xdr:oneCellAnchor>
  <xdr:oneCellAnchor>
    <xdr:from>
      <xdr:col>14</xdr:col>
      <xdr:colOff>200025</xdr:colOff>
      <xdr:row>60</xdr:row>
      <xdr:rowOff>47625</xdr:rowOff>
    </xdr:from>
    <xdr:ext cx="447675" cy="264560"/>
    <xdr:sp macro="" textlink="">
      <xdr:nvSpPr>
        <xdr:cNvPr id="194" name="CuadroTexto 193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 txBox="1"/>
      </xdr:nvSpPr>
      <xdr:spPr>
        <a:xfrm>
          <a:off x="10868025" y="4619625"/>
          <a:ext cx="447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chemeClr val="accent2"/>
              </a:solidFill>
            </a:rPr>
            <a:t>200</a:t>
          </a:r>
        </a:p>
      </xdr:txBody>
    </xdr:sp>
    <xdr:clientData/>
  </xdr:oneCellAnchor>
  <xdr:oneCellAnchor>
    <xdr:from>
      <xdr:col>14</xdr:col>
      <xdr:colOff>285750</xdr:colOff>
      <xdr:row>62</xdr:row>
      <xdr:rowOff>19050</xdr:rowOff>
    </xdr:from>
    <xdr:ext cx="447675" cy="264560"/>
    <xdr:sp macro="" textlink="">
      <xdr:nvSpPr>
        <xdr:cNvPr id="195" name="CuadroTexto 194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 txBox="1"/>
      </xdr:nvSpPr>
      <xdr:spPr>
        <a:xfrm>
          <a:off x="10953750" y="4972050"/>
          <a:ext cx="447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chemeClr val="accent2"/>
              </a:solidFill>
            </a:rPr>
            <a:t>40</a:t>
          </a:r>
        </a:p>
      </xdr:txBody>
    </xdr:sp>
    <xdr:clientData/>
  </xdr:oneCellAnchor>
  <xdr:oneCellAnchor>
    <xdr:from>
      <xdr:col>12</xdr:col>
      <xdr:colOff>352425</xdr:colOff>
      <xdr:row>64</xdr:row>
      <xdr:rowOff>66675</xdr:rowOff>
    </xdr:from>
    <xdr:ext cx="447675" cy="264560"/>
    <xdr:sp macro="" textlink="">
      <xdr:nvSpPr>
        <xdr:cNvPr id="196" name="CuadroTexto 195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 txBox="1"/>
      </xdr:nvSpPr>
      <xdr:spPr>
        <a:xfrm rot="19328669">
          <a:off x="9496425" y="5400675"/>
          <a:ext cx="447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chemeClr val="accent2"/>
              </a:solidFill>
            </a:rPr>
            <a:t>200</a:t>
          </a:r>
        </a:p>
      </xdr:txBody>
    </xdr:sp>
    <xdr:clientData/>
  </xdr:oneCellAnchor>
  <xdr:oneCellAnchor>
    <xdr:from>
      <xdr:col>13</xdr:col>
      <xdr:colOff>82033</xdr:colOff>
      <xdr:row>64</xdr:row>
      <xdr:rowOff>89417</xdr:rowOff>
    </xdr:from>
    <xdr:ext cx="264560" cy="447675"/>
    <xdr:sp macro="" textlink="">
      <xdr:nvSpPr>
        <xdr:cNvPr id="197" name="CuadroTexto 196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 txBox="1"/>
      </xdr:nvSpPr>
      <xdr:spPr>
        <a:xfrm rot="16722455">
          <a:off x="9896475" y="5514975"/>
          <a:ext cx="447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chemeClr val="accent2"/>
              </a:solidFill>
            </a:rPr>
            <a:t>180</a:t>
          </a:r>
        </a:p>
      </xdr:txBody>
    </xdr:sp>
    <xdr:clientData/>
  </xdr:oneCellAnchor>
  <xdr:oneCellAnchor>
    <xdr:from>
      <xdr:col>13</xdr:col>
      <xdr:colOff>457201</xdr:colOff>
      <xdr:row>64</xdr:row>
      <xdr:rowOff>180975</xdr:rowOff>
    </xdr:from>
    <xdr:ext cx="447675" cy="264560"/>
    <xdr:sp macro="" textlink="">
      <xdr:nvSpPr>
        <xdr:cNvPr id="198" name="CuadroTexto 197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 txBox="1"/>
      </xdr:nvSpPr>
      <xdr:spPr>
        <a:xfrm rot="2681281">
          <a:off x="10363201" y="5514975"/>
          <a:ext cx="447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chemeClr val="accent2"/>
              </a:solidFill>
            </a:rPr>
            <a:t>140</a:t>
          </a:r>
        </a:p>
      </xdr:txBody>
    </xdr:sp>
    <xdr:clientData/>
  </xdr:oneCellAnchor>
  <xdr:oneCellAnchor>
    <xdr:from>
      <xdr:col>13</xdr:col>
      <xdr:colOff>752476</xdr:colOff>
      <xdr:row>64</xdr:row>
      <xdr:rowOff>47625</xdr:rowOff>
    </xdr:from>
    <xdr:ext cx="447675" cy="264560"/>
    <xdr:sp macro="" textlink="">
      <xdr:nvSpPr>
        <xdr:cNvPr id="199" name="CuadroTexto 198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 txBox="1"/>
      </xdr:nvSpPr>
      <xdr:spPr>
        <a:xfrm rot="1433500">
          <a:off x="10658476" y="5381625"/>
          <a:ext cx="447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chemeClr val="accent2"/>
              </a:solidFill>
            </a:rPr>
            <a:t>100</a:t>
          </a:r>
        </a:p>
      </xdr:txBody>
    </xdr:sp>
    <xdr:clientData/>
  </xdr:oneCellAnchor>
  <xdr:oneCellAnchor>
    <xdr:from>
      <xdr:col>16</xdr:col>
      <xdr:colOff>533400</xdr:colOff>
      <xdr:row>62</xdr:row>
      <xdr:rowOff>19050</xdr:rowOff>
    </xdr:from>
    <xdr:ext cx="447675" cy="264560"/>
    <xdr:sp macro="" textlink="">
      <xdr:nvSpPr>
        <xdr:cNvPr id="200" name="CuadroTexto 199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 txBox="1"/>
      </xdr:nvSpPr>
      <xdr:spPr>
        <a:xfrm>
          <a:off x="12725400" y="4972050"/>
          <a:ext cx="447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chemeClr val="accent6"/>
              </a:solidFill>
            </a:rPr>
            <a:t>50</a:t>
          </a:r>
        </a:p>
      </xdr:txBody>
    </xdr:sp>
    <xdr:clientData/>
  </xdr:oneCellAnchor>
  <xdr:oneCellAnchor>
    <xdr:from>
      <xdr:col>15</xdr:col>
      <xdr:colOff>180975</xdr:colOff>
      <xdr:row>63</xdr:row>
      <xdr:rowOff>152400</xdr:rowOff>
    </xdr:from>
    <xdr:ext cx="447675" cy="264560"/>
    <xdr:sp macro="" textlink="">
      <xdr:nvSpPr>
        <xdr:cNvPr id="201" name="CuadroTexto 200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 txBox="1"/>
      </xdr:nvSpPr>
      <xdr:spPr>
        <a:xfrm rot="20435195">
          <a:off x="11610975" y="5295900"/>
          <a:ext cx="447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chemeClr val="accent6"/>
              </a:solidFill>
            </a:rPr>
            <a:t>90</a:t>
          </a:r>
        </a:p>
      </xdr:txBody>
    </xdr:sp>
    <xdr:clientData/>
  </xdr:oneCellAnchor>
  <xdr:oneCellAnchor>
    <xdr:from>
      <xdr:col>15</xdr:col>
      <xdr:colOff>428625</xdr:colOff>
      <xdr:row>64</xdr:row>
      <xdr:rowOff>133350</xdr:rowOff>
    </xdr:from>
    <xdr:ext cx="447675" cy="264560"/>
    <xdr:sp macro="" textlink="">
      <xdr:nvSpPr>
        <xdr:cNvPr id="202" name="CuadroTexto 201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 txBox="1"/>
      </xdr:nvSpPr>
      <xdr:spPr>
        <a:xfrm rot="19916186">
          <a:off x="11858625" y="5467350"/>
          <a:ext cx="447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chemeClr val="accent6"/>
              </a:solidFill>
            </a:rPr>
            <a:t>120</a:t>
          </a:r>
        </a:p>
      </xdr:txBody>
    </xdr:sp>
    <xdr:clientData/>
  </xdr:oneCellAnchor>
  <xdr:oneCellAnchor>
    <xdr:from>
      <xdr:col>16</xdr:col>
      <xdr:colOff>123826</xdr:colOff>
      <xdr:row>65</xdr:row>
      <xdr:rowOff>95250</xdr:rowOff>
    </xdr:from>
    <xdr:ext cx="447675" cy="264560"/>
    <xdr:sp macro="" textlink="">
      <xdr:nvSpPr>
        <xdr:cNvPr id="203" name="CuadroTexto 202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 txBox="1"/>
      </xdr:nvSpPr>
      <xdr:spPr>
        <a:xfrm>
          <a:off x="12315826" y="5619750"/>
          <a:ext cx="447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chemeClr val="accent6"/>
              </a:solidFill>
            </a:rPr>
            <a:t>120</a:t>
          </a:r>
        </a:p>
      </xdr:txBody>
    </xdr:sp>
    <xdr:clientData/>
  </xdr:oneCellAnchor>
  <xdr:oneCellAnchor>
    <xdr:from>
      <xdr:col>16</xdr:col>
      <xdr:colOff>485775</xdr:colOff>
      <xdr:row>64</xdr:row>
      <xdr:rowOff>9527</xdr:rowOff>
    </xdr:from>
    <xdr:ext cx="447675" cy="264560"/>
    <xdr:sp macro="" textlink="">
      <xdr:nvSpPr>
        <xdr:cNvPr id="204" name="CuadroTexto 203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 txBox="1"/>
      </xdr:nvSpPr>
      <xdr:spPr>
        <a:xfrm rot="2293655">
          <a:off x="12677775" y="5343527"/>
          <a:ext cx="447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chemeClr val="accent6"/>
              </a:solidFill>
            </a:rPr>
            <a:t>80</a:t>
          </a:r>
        </a:p>
      </xdr:txBody>
    </xdr:sp>
    <xdr:clientData/>
  </xdr:oneCellAnchor>
  <xdr:twoCellAnchor>
    <xdr:from>
      <xdr:col>9</xdr:col>
      <xdr:colOff>738188</xdr:colOff>
      <xdr:row>63</xdr:row>
      <xdr:rowOff>40481</xdr:rowOff>
    </xdr:from>
    <xdr:to>
      <xdr:col>19</xdr:col>
      <xdr:colOff>71438</xdr:colOff>
      <xdr:row>72</xdr:row>
      <xdr:rowOff>166687</xdr:rowOff>
    </xdr:to>
    <xdr:cxnSp macro="">
      <xdr:nvCxnSpPr>
        <xdr:cNvPr id="205" name="Conector recto de flecha 204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CxnSpPr>
          <a:stCxn id="167" idx="2"/>
          <a:endCxn id="162" idx="6"/>
        </xdr:cNvCxnSpPr>
      </xdr:nvCxnSpPr>
      <xdr:spPr>
        <a:xfrm flipV="1">
          <a:off x="7596188" y="12196762"/>
          <a:ext cx="6953250" cy="184070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64286</xdr:colOff>
      <xdr:row>72</xdr:row>
      <xdr:rowOff>22624</xdr:rowOff>
    </xdr:from>
    <xdr:to>
      <xdr:col>17</xdr:col>
      <xdr:colOff>475960</xdr:colOff>
      <xdr:row>73</xdr:row>
      <xdr:rowOff>172270</xdr:rowOff>
    </xdr:to>
    <xdr:cxnSp macro="">
      <xdr:nvCxnSpPr>
        <xdr:cNvPr id="206" name="Conector recto de flecha 205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CxnSpPr>
          <a:stCxn id="167" idx="3"/>
          <a:endCxn id="164" idx="6"/>
        </xdr:cNvCxnSpPr>
      </xdr:nvCxnSpPr>
      <xdr:spPr>
        <a:xfrm flipV="1">
          <a:off x="7730749" y="13566709"/>
          <a:ext cx="5778199" cy="3355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290513</xdr:colOff>
      <xdr:row>71</xdr:row>
      <xdr:rowOff>72773</xdr:rowOff>
    </xdr:from>
    <xdr:to>
      <xdr:col>13</xdr:col>
      <xdr:colOff>596117</xdr:colOff>
      <xdr:row>74</xdr:row>
      <xdr:rowOff>66674</xdr:rowOff>
    </xdr:to>
    <xdr:cxnSp macro="">
      <xdr:nvCxnSpPr>
        <xdr:cNvPr id="207" name="Conector recto de flecha 206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CxnSpPr>
          <a:stCxn id="167" idx="4"/>
          <a:endCxn id="166" idx="7"/>
        </xdr:cNvCxnSpPr>
      </xdr:nvCxnSpPr>
      <xdr:spPr>
        <a:xfrm flipV="1">
          <a:off x="7910513" y="13753054"/>
          <a:ext cx="2591604" cy="56540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290513</xdr:colOff>
      <xdr:row>71</xdr:row>
      <xdr:rowOff>57149</xdr:rowOff>
    </xdr:from>
    <xdr:to>
      <xdr:col>19</xdr:col>
      <xdr:colOff>38100</xdr:colOff>
      <xdr:row>74</xdr:row>
      <xdr:rowOff>66674</xdr:rowOff>
    </xdr:to>
    <xdr:cxnSp macro="">
      <xdr:nvCxnSpPr>
        <xdr:cNvPr id="208" name="Conector recto de flecha 207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CxnSpPr>
          <a:stCxn id="167" idx="4"/>
          <a:endCxn id="168" idx="0"/>
        </xdr:cNvCxnSpPr>
      </xdr:nvCxnSpPr>
      <xdr:spPr>
        <a:xfrm flipV="1">
          <a:off x="7910513" y="13737430"/>
          <a:ext cx="6605587" cy="5810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352426</xdr:colOff>
      <xdr:row>70</xdr:row>
      <xdr:rowOff>152400</xdr:rowOff>
    </xdr:from>
    <xdr:ext cx="447675" cy="264560"/>
    <xdr:sp macro="" textlink="">
      <xdr:nvSpPr>
        <xdr:cNvPr id="209" name="CuadroTexto 208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 txBox="1"/>
      </xdr:nvSpPr>
      <xdr:spPr>
        <a:xfrm rot="20772424">
          <a:off x="8734426" y="13642181"/>
          <a:ext cx="447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rgbClr val="FF0000"/>
              </a:solidFill>
            </a:rPr>
            <a:t>20</a:t>
          </a:r>
        </a:p>
      </xdr:txBody>
    </xdr:sp>
    <xdr:clientData/>
  </xdr:oneCellAnchor>
  <xdr:oneCellAnchor>
    <xdr:from>
      <xdr:col>10</xdr:col>
      <xdr:colOff>223839</xdr:colOff>
      <xdr:row>74</xdr:row>
      <xdr:rowOff>40481</xdr:rowOff>
    </xdr:from>
    <xdr:ext cx="447675" cy="264560"/>
    <xdr:sp macro="" textlink="">
      <xdr:nvSpPr>
        <xdr:cNvPr id="210" name="CuadroTexto 209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 txBox="1"/>
      </xdr:nvSpPr>
      <xdr:spPr>
        <a:xfrm rot="20772424">
          <a:off x="7843839" y="14292262"/>
          <a:ext cx="447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rgbClr val="FF0000"/>
              </a:solidFill>
            </a:rPr>
            <a:t>110</a:t>
          </a:r>
        </a:p>
      </xdr:txBody>
    </xdr:sp>
    <xdr:clientData/>
  </xdr:oneCellAnchor>
  <xdr:oneCellAnchor>
    <xdr:from>
      <xdr:col>11</xdr:col>
      <xdr:colOff>487780</xdr:colOff>
      <xdr:row>71</xdr:row>
      <xdr:rowOff>110244</xdr:rowOff>
    </xdr:from>
    <xdr:ext cx="447675" cy="250421"/>
    <xdr:sp macro="" textlink="">
      <xdr:nvSpPr>
        <xdr:cNvPr id="211" name="CuadroTexto 210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 txBox="1"/>
      </xdr:nvSpPr>
      <xdr:spPr>
        <a:xfrm rot="20570702">
          <a:off x="8869780" y="13790525"/>
          <a:ext cx="447675" cy="2504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PY" sz="1100">
              <a:solidFill>
                <a:srgbClr val="FF0000"/>
              </a:solidFill>
            </a:rPr>
            <a:t>200</a:t>
          </a:r>
        </a:p>
      </xdr:txBody>
    </xdr:sp>
    <xdr:clientData/>
  </xdr:oneCellAnchor>
  <xdr:oneCellAnchor>
    <xdr:from>
      <xdr:col>11</xdr:col>
      <xdr:colOff>659607</xdr:colOff>
      <xdr:row>72</xdr:row>
      <xdr:rowOff>111918</xdr:rowOff>
    </xdr:from>
    <xdr:ext cx="447675" cy="264560"/>
    <xdr:sp macro="" textlink="">
      <xdr:nvSpPr>
        <xdr:cNvPr id="212" name="CuadroTexto 211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 txBox="1"/>
      </xdr:nvSpPr>
      <xdr:spPr>
        <a:xfrm>
          <a:off x="9041607" y="13982699"/>
          <a:ext cx="447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rgbClr val="FF0000"/>
              </a:solidFill>
            </a:rPr>
            <a:t>50</a:t>
          </a:r>
        </a:p>
      </xdr:txBody>
    </xdr:sp>
    <xdr:clientData/>
  </xdr:oneCellAnchor>
  <xdr:twoCellAnchor>
    <xdr:from>
      <xdr:col>16</xdr:col>
      <xdr:colOff>609310</xdr:colOff>
      <xdr:row>63</xdr:row>
      <xdr:rowOff>42804</xdr:rowOff>
    </xdr:from>
    <xdr:to>
      <xdr:col>19</xdr:col>
      <xdr:colOff>71438</xdr:colOff>
      <xdr:row>72</xdr:row>
      <xdr:rowOff>22624</xdr:rowOff>
    </xdr:to>
    <xdr:cxnSp macro="">
      <xdr:nvCxnSpPr>
        <xdr:cNvPr id="213" name="Conector recto de flecha 212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CxnSpPr>
          <a:stCxn id="162" idx="6"/>
          <a:endCxn id="164" idx="2"/>
        </xdr:cNvCxnSpPr>
      </xdr:nvCxnSpPr>
      <xdr:spPr>
        <a:xfrm flipH="1">
          <a:off x="12875651" y="11914206"/>
          <a:ext cx="1762067" cy="1652503"/>
        </a:xfrm>
        <a:prstGeom prst="straightConnector1">
          <a:avLst/>
        </a:prstGeom>
        <a:ln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151596</xdr:colOff>
      <xdr:row>64</xdr:row>
      <xdr:rowOff>48669</xdr:rowOff>
    </xdr:from>
    <xdr:to>
      <xdr:col>18</xdr:col>
      <xdr:colOff>741375</xdr:colOff>
      <xdr:row>73</xdr:row>
      <xdr:rowOff>89150</xdr:rowOff>
    </xdr:to>
    <xdr:cxnSp macro="">
      <xdr:nvCxnSpPr>
        <xdr:cNvPr id="214" name="Conector angular 213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CxnSpPr>
          <a:stCxn id="162" idx="5"/>
          <a:endCxn id="166" idx="3"/>
        </xdr:cNvCxnSpPr>
      </xdr:nvCxnSpPr>
      <xdr:spPr>
        <a:xfrm rot="5400000">
          <a:off x="11379995" y="11073051"/>
          <a:ext cx="1754981" cy="4399779"/>
        </a:xfrm>
        <a:prstGeom prst="bentConnector3">
          <a:avLst>
            <a:gd name="adj1" fmla="val 117715"/>
          </a:avLst>
        </a:prstGeom>
        <a:ln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519112</xdr:colOff>
      <xdr:row>64</xdr:row>
      <xdr:rowOff>130968</xdr:rowOff>
    </xdr:from>
    <xdr:to>
      <xdr:col>19</xdr:col>
      <xdr:colOff>38099</xdr:colOff>
      <xdr:row>74</xdr:row>
      <xdr:rowOff>47624</xdr:rowOff>
    </xdr:to>
    <xdr:cxnSp macro="">
      <xdr:nvCxnSpPr>
        <xdr:cNvPr id="215" name="Conector angular 214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CxnSpPr>
          <a:stCxn id="162" idx="4"/>
          <a:endCxn id="168" idx="4"/>
        </xdr:cNvCxnSpPr>
      </xdr:nvCxnSpPr>
      <xdr:spPr>
        <a:xfrm rot="16200000" flipH="1">
          <a:off x="13464778" y="13248083"/>
          <a:ext cx="1821656" cy="280987"/>
        </a:xfrm>
        <a:prstGeom prst="bentConnector5">
          <a:avLst>
            <a:gd name="adj1" fmla="val 34575"/>
            <a:gd name="adj2" fmla="val 293221"/>
            <a:gd name="adj3" fmla="val 112549"/>
          </a:avLst>
        </a:prstGeom>
        <a:ln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45244</xdr:colOff>
      <xdr:row>65</xdr:row>
      <xdr:rowOff>26194</xdr:rowOff>
    </xdr:from>
    <xdr:ext cx="447675" cy="266700"/>
    <xdr:sp macro="" textlink="">
      <xdr:nvSpPr>
        <xdr:cNvPr id="216" name="CuadroTexto 215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 txBox="1"/>
      </xdr:nvSpPr>
      <xdr:spPr>
        <a:xfrm>
          <a:off x="13761244" y="12563475"/>
          <a:ext cx="44767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chemeClr val="accent5">
                  <a:lumMod val="75000"/>
                </a:schemeClr>
              </a:solidFill>
            </a:rPr>
            <a:t>80</a:t>
          </a:r>
        </a:p>
      </xdr:txBody>
    </xdr:sp>
    <xdr:clientData/>
  </xdr:oneCellAnchor>
  <xdr:oneCellAnchor>
    <xdr:from>
      <xdr:col>19</xdr:col>
      <xdr:colOff>0</xdr:colOff>
      <xdr:row>64</xdr:row>
      <xdr:rowOff>54769</xdr:rowOff>
    </xdr:from>
    <xdr:ext cx="447675" cy="266700"/>
    <xdr:sp macro="" textlink="">
      <xdr:nvSpPr>
        <xdr:cNvPr id="217" name="CuadroTexto 216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 txBox="1"/>
      </xdr:nvSpPr>
      <xdr:spPr>
        <a:xfrm>
          <a:off x="14478000" y="12401550"/>
          <a:ext cx="44767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chemeClr val="accent5">
                  <a:lumMod val="75000"/>
                </a:schemeClr>
              </a:solidFill>
            </a:rPr>
            <a:t>250</a:t>
          </a:r>
        </a:p>
      </xdr:txBody>
    </xdr:sp>
    <xdr:clientData/>
  </xdr:oneCellAnchor>
  <xdr:oneCellAnchor>
    <xdr:from>
      <xdr:col>18</xdr:col>
      <xdr:colOff>409575</xdr:colOff>
      <xdr:row>65</xdr:row>
      <xdr:rowOff>164306</xdr:rowOff>
    </xdr:from>
    <xdr:ext cx="447675" cy="266700"/>
    <xdr:sp macro="" textlink="">
      <xdr:nvSpPr>
        <xdr:cNvPr id="218" name="CuadroTexto 217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 txBox="1"/>
      </xdr:nvSpPr>
      <xdr:spPr>
        <a:xfrm>
          <a:off x="14125575" y="12701587"/>
          <a:ext cx="44767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chemeClr val="accent5">
                  <a:lumMod val="75000"/>
                </a:schemeClr>
              </a:solidFill>
            </a:rPr>
            <a:t>140</a:t>
          </a:r>
        </a:p>
      </xdr:txBody>
    </xdr:sp>
    <xdr:clientData/>
  </xdr:oneCellAnchor>
  <xdr:twoCellAnchor>
    <xdr:from>
      <xdr:col>13</xdr:col>
      <xdr:colOff>59531</xdr:colOff>
      <xdr:row>72</xdr:row>
      <xdr:rowOff>22624</xdr:rowOff>
    </xdr:from>
    <xdr:to>
      <xdr:col>17</xdr:col>
      <xdr:colOff>475960</xdr:colOff>
      <xdr:row>72</xdr:row>
      <xdr:rowOff>83285</xdr:rowOff>
    </xdr:to>
    <xdr:cxnSp macro="">
      <xdr:nvCxnSpPr>
        <xdr:cNvPr id="219" name="Conector recto de flecha 218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CxnSpPr>
          <a:stCxn id="164" idx="6"/>
          <a:endCxn id="166" idx="2"/>
        </xdr:cNvCxnSpPr>
      </xdr:nvCxnSpPr>
      <xdr:spPr>
        <a:xfrm flipH="1">
          <a:off x="10025933" y="13566709"/>
          <a:ext cx="3483015" cy="60661"/>
        </a:xfrm>
        <a:prstGeom prst="straightConnector1">
          <a:avLst/>
        </a:prstGeom>
        <a:ln>
          <a:solidFill>
            <a:srgbClr val="7030A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159311</xdr:colOff>
      <xdr:row>73</xdr:row>
      <xdr:rowOff>112064</xdr:rowOff>
    </xdr:from>
    <xdr:to>
      <xdr:col>18</xdr:col>
      <xdr:colOff>578518</xdr:colOff>
      <xdr:row>73</xdr:row>
      <xdr:rowOff>153220</xdr:rowOff>
    </xdr:to>
    <xdr:cxnSp macro="">
      <xdr:nvCxnSpPr>
        <xdr:cNvPr id="220" name="Conector angular 219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CxnSpPr>
          <a:stCxn id="164" idx="4"/>
          <a:endCxn id="168" idx="3"/>
        </xdr:cNvCxnSpPr>
      </xdr:nvCxnSpPr>
      <xdr:spPr>
        <a:xfrm rot="16200000" flipH="1">
          <a:off x="13764648" y="13269654"/>
          <a:ext cx="41156" cy="1185853"/>
        </a:xfrm>
        <a:prstGeom prst="bentConnector3">
          <a:avLst>
            <a:gd name="adj1" fmla="val 850457"/>
          </a:avLst>
        </a:prstGeom>
        <a:ln>
          <a:solidFill>
            <a:srgbClr val="7030A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260537</xdr:colOff>
      <xdr:row>71</xdr:row>
      <xdr:rowOff>110658</xdr:rowOff>
    </xdr:from>
    <xdr:ext cx="447675" cy="266700"/>
    <xdr:sp macro="" textlink="">
      <xdr:nvSpPr>
        <xdr:cNvPr id="221" name="CuadroTexto 220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 txBox="1"/>
      </xdr:nvSpPr>
      <xdr:spPr>
        <a:xfrm>
          <a:off x="12474949" y="13690787"/>
          <a:ext cx="44767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rgbClr val="7030A0"/>
              </a:solidFill>
            </a:rPr>
            <a:t>380</a:t>
          </a:r>
        </a:p>
      </xdr:txBody>
    </xdr:sp>
    <xdr:clientData/>
  </xdr:oneCellAnchor>
  <xdr:oneCellAnchor>
    <xdr:from>
      <xdr:col>17</xdr:col>
      <xdr:colOff>645318</xdr:colOff>
      <xdr:row>75</xdr:row>
      <xdr:rowOff>50006</xdr:rowOff>
    </xdr:from>
    <xdr:ext cx="447675" cy="266700"/>
    <xdr:sp macro="" textlink="">
      <xdr:nvSpPr>
        <xdr:cNvPr id="222" name="CuadroTexto 221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 txBox="1"/>
      </xdr:nvSpPr>
      <xdr:spPr>
        <a:xfrm>
          <a:off x="13599318" y="14492287"/>
          <a:ext cx="44767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rgbClr val="7030A0"/>
              </a:solidFill>
            </a:rPr>
            <a:t>230</a:t>
          </a:r>
        </a:p>
      </xdr:txBody>
    </xdr:sp>
    <xdr:clientData/>
  </xdr:oneCellAnchor>
  <xdr:twoCellAnchor>
    <xdr:from>
      <xdr:col>13</xdr:col>
      <xdr:colOff>688181</xdr:colOff>
      <xdr:row>72</xdr:row>
      <xdr:rowOff>80962</xdr:rowOff>
    </xdr:from>
    <xdr:to>
      <xdr:col>18</xdr:col>
      <xdr:colOff>485775</xdr:colOff>
      <xdr:row>72</xdr:row>
      <xdr:rowOff>147637</xdr:rowOff>
    </xdr:to>
    <xdr:cxnSp macro="">
      <xdr:nvCxnSpPr>
        <xdr:cNvPr id="223" name="Conector recto de flecha 222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CxnSpPr>
          <a:stCxn id="166" idx="6"/>
          <a:endCxn id="168" idx="2"/>
        </xdr:cNvCxnSpPr>
      </xdr:nvCxnSpPr>
      <xdr:spPr>
        <a:xfrm>
          <a:off x="10594181" y="13951743"/>
          <a:ext cx="3607594" cy="66675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650422</xdr:colOff>
      <xdr:row>71</xdr:row>
      <xdr:rowOff>33390</xdr:rowOff>
    </xdr:from>
    <xdr:ext cx="447675" cy="266700"/>
    <xdr:sp macro="" textlink="">
      <xdr:nvSpPr>
        <xdr:cNvPr id="224" name="CuadroTexto 223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 txBox="1"/>
      </xdr:nvSpPr>
      <xdr:spPr>
        <a:xfrm>
          <a:off x="10583636" y="13567264"/>
          <a:ext cx="44767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Y" sz="1100">
              <a:solidFill>
                <a:srgbClr val="FFC000"/>
              </a:solidFill>
            </a:rPr>
            <a:t>20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"/>
  <sheetViews>
    <sheetView topLeftCell="A34" zoomScale="82" zoomScaleNormal="82" workbookViewId="0">
      <selection activeCell="Q24" sqref="Q24"/>
    </sheetView>
  </sheetViews>
  <sheetFormatPr baseColWidth="10" defaultRowHeight="14.4" x14ac:dyDescent="0.3"/>
  <cols>
    <col min="2" max="2" width="29.44140625" customWidth="1"/>
    <col min="16" max="16" width="15.44140625" customWidth="1"/>
  </cols>
  <sheetData>
    <row r="1" spans="1:12" ht="15" customHeight="1" x14ac:dyDescent="0.3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x14ac:dyDescent="0.3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2" x14ac:dyDescent="0.3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2" ht="198.75" customHeight="1" x14ac:dyDescent="0.3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6" spans="1:12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/>
      <c r="B7" s="20" t="s">
        <v>18</v>
      </c>
      <c r="C7" s="2">
        <v>1</v>
      </c>
      <c r="D7" s="2">
        <v>2</v>
      </c>
      <c r="E7" s="2">
        <v>3</v>
      </c>
      <c r="F7" s="2">
        <v>4</v>
      </c>
      <c r="G7" s="2">
        <v>5</v>
      </c>
      <c r="H7" s="2">
        <v>6</v>
      </c>
      <c r="I7" s="2">
        <v>7</v>
      </c>
      <c r="J7" s="2">
        <v>8</v>
      </c>
      <c r="K7" s="2">
        <v>9</v>
      </c>
      <c r="L7" s="2">
        <v>10</v>
      </c>
    </row>
    <row r="8" spans="1:12" x14ac:dyDescent="0.3">
      <c r="A8" s="3" t="s">
        <v>1</v>
      </c>
      <c r="B8" s="4" t="s">
        <v>2</v>
      </c>
      <c r="C8" s="3"/>
      <c r="D8" s="3"/>
      <c r="E8" s="3"/>
      <c r="F8" s="3"/>
      <c r="G8" s="3"/>
      <c r="H8" s="3"/>
      <c r="I8" s="3"/>
      <c r="J8" s="3"/>
      <c r="K8" s="3"/>
      <c r="L8" s="3">
        <v>150</v>
      </c>
    </row>
    <row r="9" spans="1:12" x14ac:dyDescent="0.3">
      <c r="A9" s="3" t="s">
        <v>12</v>
      </c>
      <c r="B9" s="4" t="s">
        <v>3</v>
      </c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x14ac:dyDescent="0.3">
      <c r="A10" s="3"/>
      <c r="B10" s="4" t="s">
        <v>4</v>
      </c>
      <c r="C10" s="3">
        <f>$A$13</f>
        <v>30</v>
      </c>
      <c r="D10" s="3">
        <f t="shared" ref="D10:L10" si="0">$A$13</f>
        <v>30</v>
      </c>
      <c r="E10" s="3">
        <f t="shared" si="0"/>
        <v>30</v>
      </c>
      <c r="F10" s="3">
        <f t="shared" si="0"/>
        <v>30</v>
      </c>
      <c r="G10" s="3">
        <f t="shared" si="0"/>
        <v>30</v>
      </c>
      <c r="H10" s="3">
        <f t="shared" si="0"/>
        <v>30</v>
      </c>
      <c r="I10" s="3">
        <f t="shared" si="0"/>
        <v>30</v>
      </c>
      <c r="J10" s="3">
        <f t="shared" si="0"/>
        <v>30</v>
      </c>
      <c r="K10" s="3">
        <f t="shared" si="0"/>
        <v>30</v>
      </c>
      <c r="L10" s="3">
        <f t="shared" si="0"/>
        <v>30</v>
      </c>
    </row>
    <row r="11" spans="1:12" x14ac:dyDescent="0.3">
      <c r="A11" s="3" t="s">
        <v>5</v>
      </c>
      <c r="B11" s="24" t="s">
        <v>6</v>
      </c>
      <c r="C11" s="3"/>
      <c r="D11" s="3"/>
      <c r="E11" s="3"/>
      <c r="F11" s="3"/>
      <c r="G11" s="3"/>
      <c r="H11" s="3"/>
      <c r="I11" s="3"/>
      <c r="J11" s="3"/>
      <c r="K11" s="3"/>
      <c r="L11" s="28">
        <f>L8-L10</f>
        <v>120</v>
      </c>
    </row>
    <row r="12" spans="1:12" x14ac:dyDescent="0.3">
      <c r="A12" s="3" t="s">
        <v>7</v>
      </c>
      <c r="B12" s="4" t="s">
        <v>8</v>
      </c>
      <c r="C12" s="3"/>
      <c r="D12" s="3"/>
      <c r="E12" s="3"/>
      <c r="F12" s="3"/>
      <c r="G12" s="3"/>
      <c r="H12" s="3"/>
      <c r="I12" s="3"/>
      <c r="J12" s="3"/>
      <c r="K12" s="3"/>
      <c r="L12" s="19">
        <v>120</v>
      </c>
    </row>
    <row r="13" spans="1:12" ht="15" thickBot="1" x14ac:dyDescent="0.35">
      <c r="A13" s="5">
        <v>30</v>
      </c>
      <c r="B13" s="6" t="s">
        <v>9</v>
      </c>
      <c r="C13" s="5"/>
      <c r="D13" s="5"/>
      <c r="E13" s="5"/>
      <c r="F13" s="5"/>
      <c r="G13" s="5"/>
      <c r="H13" s="5"/>
      <c r="I13" s="5"/>
      <c r="J13" s="7"/>
      <c r="K13" s="5">
        <v>120</v>
      </c>
      <c r="L13" s="5"/>
    </row>
    <row r="14" spans="1:12" x14ac:dyDescent="0.3">
      <c r="A14" s="3" t="s">
        <v>10</v>
      </c>
      <c r="B14" s="4" t="s">
        <v>2</v>
      </c>
      <c r="C14" s="1"/>
      <c r="D14" s="1"/>
      <c r="E14" s="1"/>
      <c r="F14" s="1"/>
      <c r="G14" s="1"/>
      <c r="H14" s="1"/>
      <c r="I14" s="1"/>
      <c r="J14" s="8"/>
      <c r="K14" s="1">
        <f>K13*4</f>
        <v>480</v>
      </c>
      <c r="L14" s="1"/>
    </row>
    <row r="15" spans="1:12" x14ac:dyDescent="0.3">
      <c r="A15" s="3" t="s">
        <v>12</v>
      </c>
      <c r="B15" s="4" t="s">
        <v>3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4" t="s">
        <v>4</v>
      </c>
      <c r="C16" s="8">
        <f>$A$19</f>
        <v>18</v>
      </c>
      <c r="D16" s="8">
        <f t="shared" ref="D16:K16" si="1">$A$19</f>
        <v>18</v>
      </c>
      <c r="E16" s="8">
        <f t="shared" si="1"/>
        <v>18</v>
      </c>
      <c r="F16" s="8">
        <f t="shared" si="1"/>
        <v>18</v>
      </c>
      <c r="G16" s="8">
        <f t="shared" si="1"/>
        <v>18</v>
      </c>
      <c r="H16" s="8">
        <f t="shared" si="1"/>
        <v>18</v>
      </c>
      <c r="I16" s="8">
        <f t="shared" si="1"/>
        <v>18</v>
      </c>
      <c r="J16" s="8">
        <f t="shared" si="1"/>
        <v>18</v>
      </c>
      <c r="K16" s="8">
        <f t="shared" si="1"/>
        <v>18</v>
      </c>
      <c r="L16" s="1"/>
    </row>
    <row r="17" spans="1:16" x14ac:dyDescent="0.3">
      <c r="A17" s="3" t="s">
        <v>5</v>
      </c>
      <c r="B17" s="24" t="s">
        <v>6</v>
      </c>
      <c r="C17" s="1"/>
      <c r="D17" s="1"/>
      <c r="E17" s="1"/>
      <c r="F17" s="1"/>
      <c r="G17" s="1"/>
      <c r="H17" s="1"/>
      <c r="I17" s="1"/>
      <c r="J17" s="9"/>
      <c r="K17" s="25">
        <f>K14-K16</f>
        <v>462</v>
      </c>
      <c r="L17" s="1"/>
    </row>
    <row r="18" spans="1:16" x14ac:dyDescent="0.3">
      <c r="A18" s="3" t="s">
        <v>7</v>
      </c>
      <c r="B18" s="4" t="s">
        <v>8</v>
      </c>
      <c r="C18" s="1"/>
      <c r="D18" s="1"/>
      <c r="E18" s="1"/>
      <c r="F18" s="1"/>
      <c r="G18" s="1"/>
      <c r="H18" s="1"/>
      <c r="I18" s="1"/>
      <c r="J18" s="9"/>
      <c r="K18" s="1">
        <v>462</v>
      </c>
      <c r="L18" s="1"/>
    </row>
    <row r="19" spans="1:16" ht="15" thickBot="1" x14ac:dyDescent="0.35">
      <c r="A19" s="5">
        <v>18</v>
      </c>
      <c r="B19" s="6" t="s">
        <v>9</v>
      </c>
      <c r="C19" s="6"/>
      <c r="D19" s="6"/>
      <c r="E19" s="6"/>
      <c r="F19" s="6"/>
      <c r="G19" s="6"/>
      <c r="H19" s="6"/>
      <c r="I19" s="6"/>
      <c r="J19" s="6">
        <v>462</v>
      </c>
      <c r="K19" s="6"/>
      <c r="L19" s="6"/>
    </row>
    <row r="20" spans="1:16" x14ac:dyDescent="0.3">
      <c r="A20" s="3" t="s">
        <v>11</v>
      </c>
      <c r="B20" s="4" t="s">
        <v>2</v>
      </c>
      <c r="C20" s="1"/>
      <c r="D20" s="1"/>
      <c r="E20" s="1"/>
      <c r="F20" s="1"/>
      <c r="G20" s="1"/>
      <c r="H20" s="1"/>
      <c r="I20" s="1"/>
      <c r="J20" s="8"/>
      <c r="K20" s="1">
        <f>K13*2</f>
        <v>240</v>
      </c>
      <c r="L20" s="1"/>
    </row>
    <row r="21" spans="1:16" x14ac:dyDescent="0.3">
      <c r="A21" s="3" t="s">
        <v>12</v>
      </c>
      <c r="B21" s="4" t="s">
        <v>3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6" x14ac:dyDescent="0.3">
      <c r="A22" s="1"/>
      <c r="B22" s="4" t="s">
        <v>4</v>
      </c>
      <c r="C22" s="8">
        <f>$A$25</f>
        <v>65</v>
      </c>
      <c r="D22" s="8">
        <f t="shared" ref="D22:K22" si="2">$A$25</f>
        <v>65</v>
      </c>
      <c r="E22" s="8">
        <f t="shared" si="2"/>
        <v>65</v>
      </c>
      <c r="F22" s="8">
        <f t="shared" si="2"/>
        <v>65</v>
      </c>
      <c r="G22" s="8">
        <f t="shared" si="2"/>
        <v>65</v>
      </c>
      <c r="H22" s="8">
        <f t="shared" si="2"/>
        <v>65</v>
      </c>
      <c r="I22" s="8">
        <f t="shared" si="2"/>
        <v>65</v>
      </c>
      <c r="J22" s="8">
        <f t="shared" si="2"/>
        <v>65</v>
      </c>
      <c r="K22" s="8">
        <f t="shared" si="2"/>
        <v>65</v>
      </c>
      <c r="L22" s="1"/>
    </row>
    <row r="23" spans="1:16" ht="15.6" x14ac:dyDescent="0.3">
      <c r="A23" s="3" t="s">
        <v>5</v>
      </c>
      <c r="B23" s="24" t="s">
        <v>6</v>
      </c>
      <c r="C23" s="1"/>
      <c r="D23" s="1"/>
      <c r="E23" s="1"/>
      <c r="F23" s="1"/>
      <c r="G23" s="1"/>
      <c r="H23" s="1"/>
      <c r="I23" s="1"/>
      <c r="J23" s="9"/>
      <c r="K23" s="25">
        <f>K20-K22</f>
        <v>175</v>
      </c>
      <c r="L23" s="1"/>
      <c r="N23" s="23" t="s">
        <v>19</v>
      </c>
      <c r="O23" s="43" t="s">
        <v>20</v>
      </c>
      <c r="P23" s="43"/>
    </row>
    <row r="24" spans="1:16" x14ac:dyDescent="0.3">
      <c r="A24" s="3" t="s">
        <v>7</v>
      </c>
      <c r="B24" s="4" t="s">
        <v>8</v>
      </c>
      <c r="C24" s="1"/>
      <c r="D24" s="1"/>
      <c r="E24" s="1"/>
      <c r="F24" s="1"/>
      <c r="G24" s="1"/>
      <c r="H24" s="1"/>
      <c r="I24" s="1"/>
      <c r="J24" s="9"/>
      <c r="K24" s="1">
        <v>175</v>
      </c>
      <c r="L24" s="1"/>
      <c r="N24" s="22" t="s">
        <v>1</v>
      </c>
      <c r="O24" s="44">
        <f>L11</f>
        <v>120</v>
      </c>
      <c r="P24" s="44"/>
    </row>
    <row r="25" spans="1:16" ht="15" thickBot="1" x14ac:dyDescent="0.35">
      <c r="A25" s="5">
        <v>65</v>
      </c>
      <c r="B25" s="6" t="s">
        <v>9</v>
      </c>
      <c r="C25" s="6"/>
      <c r="D25" s="6"/>
      <c r="E25" s="6"/>
      <c r="F25" s="6"/>
      <c r="G25" s="6"/>
      <c r="H25" s="6"/>
      <c r="I25" s="6"/>
      <c r="J25" s="6">
        <v>175</v>
      </c>
      <c r="K25" s="6"/>
      <c r="L25" s="6"/>
      <c r="N25" s="22" t="s">
        <v>10</v>
      </c>
      <c r="O25" s="44">
        <f>K17</f>
        <v>462</v>
      </c>
      <c r="P25" s="44"/>
    </row>
    <row r="26" spans="1:16" x14ac:dyDescent="0.3">
      <c r="A26" s="3" t="s">
        <v>13</v>
      </c>
      <c r="B26" s="4" t="s">
        <v>2</v>
      </c>
      <c r="C26" s="1"/>
      <c r="D26" s="1"/>
      <c r="E26" s="1"/>
      <c r="F26" s="1"/>
      <c r="G26" s="9"/>
      <c r="H26" s="1"/>
      <c r="I26" s="8"/>
      <c r="J26" s="1"/>
      <c r="K26" s="1">
        <f>K13*3</f>
        <v>360</v>
      </c>
      <c r="L26" s="1"/>
      <c r="N26" s="22" t="s">
        <v>11</v>
      </c>
      <c r="O26" s="44">
        <f>K23</f>
        <v>175</v>
      </c>
      <c r="P26" s="44"/>
    </row>
    <row r="27" spans="1:16" x14ac:dyDescent="0.3">
      <c r="A27" s="3" t="s">
        <v>12</v>
      </c>
      <c r="B27" s="4" t="s">
        <v>3</v>
      </c>
      <c r="C27" s="1"/>
      <c r="D27" s="1"/>
      <c r="E27" s="1"/>
      <c r="F27" s="1"/>
      <c r="G27" s="1"/>
      <c r="H27" s="1"/>
      <c r="I27" s="1"/>
      <c r="J27" s="1"/>
      <c r="K27" s="1"/>
      <c r="L27" s="1"/>
      <c r="N27" s="22" t="s">
        <v>13</v>
      </c>
      <c r="O27" s="44">
        <f>K29</f>
        <v>335</v>
      </c>
      <c r="P27" s="44"/>
    </row>
    <row r="28" spans="1:16" x14ac:dyDescent="0.3">
      <c r="A28" s="1"/>
      <c r="B28" s="4" t="s">
        <v>4</v>
      </c>
      <c r="C28" s="8">
        <f>$A$31</f>
        <v>25</v>
      </c>
      <c r="D28" s="8">
        <f t="shared" ref="D28:K28" si="3">$A$31</f>
        <v>25</v>
      </c>
      <c r="E28" s="8">
        <f t="shared" si="3"/>
        <v>25</v>
      </c>
      <c r="F28" s="8">
        <f t="shared" si="3"/>
        <v>25</v>
      </c>
      <c r="G28" s="8">
        <f t="shared" si="3"/>
        <v>25</v>
      </c>
      <c r="H28" s="8">
        <f t="shared" si="3"/>
        <v>25</v>
      </c>
      <c r="I28" s="8">
        <f t="shared" si="3"/>
        <v>25</v>
      </c>
      <c r="J28" s="8">
        <f t="shared" si="3"/>
        <v>25</v>
      </c>
      <c r="K28" s="8">
        <f t="shared" si="3"/>
        <v>25</v>
      </c>
      <c r="L28" s="1"/>
      <c r="N28" s="22" t="s">
        <v>14</v>
      </c>
      <c r="O28" s="44">
        <f>J35</f>
        <v>335</v>
      </c>
      <c r="P28" s="44"/>
    </row>
    <row r="29" spans="1:16" x14ac:dyDescent="0.3">
      <c r="A29" s="3" t="s">
        <v>5</v>
      </c>
      <c r="B29" s="24" t="s">
        <v>6</v>
      </c>
      <c r="C29" s="1"/>
      <c r="D29" s="1"/>
      <c r="E29" s="1"/>
      <c r="F29" s="1"/>
      <c r="G29" s="9"/>
      <c r="H29" s="1"/>
      <c r="I29" s="4"/>
      <c r="J29" s="9"/>
      <c r="K29" s="25">
        <f>K26-K28</f>
        <v>335</v>
      </c>
      <c r="L29" s="1"/>
      <c r="N29" s="22" t="s">
        <v>15</v>
      </c>
      <c r="O29" s="44">
        <f>J41</f>
        <v>10</v>
      </c>
      <c r="P29" s="44"/>
    </row>
    <row r="30" spans="1:16" x14ac:dyDescent="0.3">
      <c r="A30" s="3" t="s">
        <v>7</v>
      </c>
      <c r="B30" s="4" t="s">
        <v>8</v>
      </c>
      <c r="C30" s="1"/>
      <c r="D30" s="1"/>
      <c r="E30" s="1"/>
      <c r="F30" s="1"/>
      <c r="G30" s="9"/>
      <c r="H30" s="1"/>
      <c r="I30" s="8"/>
      <c r="J30" s="9"/>
      <c r="K30" s="18">
        <v>335</v>
      </c>
      <c r="L30" s="1"/>
      <c r="N30" s="22" t="s">
        <v>16</v>
      </c>
      <c r="O30" s="44">
        <f>J47</f>
        <v>290</v>
      </c>
      <c r="P30" s="44"/>
    </row>
    <row r="31" spans="1:16" ht="15" thickBot="1" x14ac:dyDescent="0.35">
      <c r="A31" s="5">
        <v>25</v>
      </c>
      <c r="B31" s="6" t="s">
        <v>9</v>
      </c>
      <c r="C31" s="6"/>
      <c r="D31" s="6"/>
      <c r="E31" s="6"/>
      <c r="F31" s="6"/>
      <c r="G31" s="6"/>
      <c r="H31" s="6"/>
      <c r="I31" s="6"/>
      <c r="J31" s="6">
        <v>335</v>
      </c>
      <c r="K31" s="6"/>
      <c r="L31" s="6"/>
      <c r="N31" s="22" t="s">
        <v>17</v>
      </c>
      <c r="O31" s="44">
        <f>J53</f>
        <v>560</v>
      </c>
      <c r="P31" s="44"/>
    </row>
    <row r="32" spans="1:16" x14ac:dyDescent="0.3">
      <c r="A32" s="3" t="s">
        <v>14</v>
      </c>
      <c r="B32" s="4" t="s">
        <v>2</v>
      </c>
      <c r="C32" s="1"/>
      <c r="D32" s="1"/>
      <c r="E32" s="1"/>
      <c r="F32" s="1"/>
      <c r="G32" s="9"/>
      <c r="H32" s="1"/>
      <c r="I32" s="8"/>
      <c r="J32" s="1">
        <f>J25*3</f>
        <v>525</v>
      </c>
      <c r="K32" s="1"/>
      <c r="L32" s="1"/>
    </row>
    <row r="33" spans="1:12" x14ac:dyDescent="0.3">
      <c r="A33" s="3" t="s">
        <v>12</v>
      </c>
      <c r="B33" s="4" t="s">
        <v>3</v>
      </c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3">
      <c r="A34" s="1"/>
      <c r="B34" s="4" t="s">
        <v>4</v>
      </c>
      <c r="C34" s="8">
        <f>$A$37</f>
        <v>190</v>
      </c>
      <c r="D34" s="8">
        <f t="shared" ref="D34:J34" si="4">$A$37</f>
        <v>190</v>
      </c>
      <c r="E34" s="8">
        <f t="shared" si="4"/>
        <v>190</v>
      </c>
      <c r="F34" s="8">
        <f t="shared" si="4"/>
        <v>190</v>
      </c>
      <c r="G34" s="8">
        <f t="shared" si="4"/>
        <v>190</v>
      </c>
      <c r="H34" s="8">
        <f t="shared" si="4"/>
        <v>190</v>
      </c>
      <c r="I34" s="8">
        <f t="shared" si="4"/>
        <v>190</v>
      </c>
      <c r="J34" s="8">
        <f t="shared" si="4"/>
        <v>190</v>
      </c>
      <c r="K34" s="1"/>
      <c r="L34" s="1"/>
    </row>
    <row r="35" spans="1:12" x14ac:dyDescent="0.3">
      <c r="A35" s="3" t="s">
        <v>5</v>
      </c>
      <c r="B35" s="24" t="s">
        <v>6</v>
      </c>
      <c r="C35" s="1"/>
      <c r="D35" s="1"/>
      <c r="E35" s="1"/>
      <c r="F35" s="1"/>
      <c r="G35" s="9"/>
      <c r="H35" s="1"/>
      <c r="I35" s="4"/>
      <c r="J35" s="26">
        <f>J32-J34</f>
        <v>335</v>
      </c>
      <c r="K35" s="1"/>
      <c r="L35" s="1"/>
    </row>
    <row r="36" spans="1:12" x14ac:dyDescent="0.3">
      <c r="A36" s="3" t="s">
        <v>7</v>
      </c>
      <c r="B36" s="4" t="s">
        <v>8</v>
      </c>
      <c r="C36" s="1"/>
      <c r="D36" s="1"/>
      <c r="E36" s="1"/>
      <c r="F36" s="1"/>
      <c r="G36" s="9"/>
      <c r="H36" s="1"/>
      <c r="I36" s="8"/>
      <c r="J36" s="17">
        <v>335</v>
      </c>
      <c r="K36" s="1"/>
      <c r="L36" s="1"/>
    </row>
    <row r="37" spans="1:12" ht="15" thickBot="1" x14ac:dyDescent="0.35">
      <c r="A37" s="5">
        <v>190</v>
      </c>
      <c r="B37" s="6" t="s">
        <v>9</v>
      </c>
      <c r="C37" s="6"/>
      <c r="D37" s="6"/>
      <c r="E37" s="6"/>
      <c r="F37" s="6"/>
      <c r="G37" s="6"/>
      <c r="H37" s="6"/>
      <c r="I37" s="6">
        <v>335</v>
      </c>
      <c r="J37" s="6"/>
      <c r="K37" s="6"/>
      <c r="L37" s="6"/>
    </row>
    <row r="38" spans="1:12" x14ac:dyDescent="0.3">
      <c r="A38" s="3" t="s">
        <v>15</v>
      </c>
      <c r="B38" s="4" t="s">
        <v>2</v>
      </c>
      <c r="C38" s="1"/>
      <c r="D38" s="1"/>
      <c r="E38" s="1"/>
      <c r="F38" s="1"/>
      <c r="G38" s="9"/>
      <c r="H38" s="1"/>
      <c r="I38" s="8"/>
      <c r="J38" s="1">
        <f>J25</f>
        <v>175</v>
      </c>
      <c r="K38" s="1"/>
      <c r="L38" s="1"/>
    </row>
    <row r="39" spans="1:12" x14ac:dyDescent="0.3">
      <c r="A39" s="3" t="s">
        <v>12</v>
      </c>
      <c r="B39" s="4" t="s">
        <v>3</v>
      </c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3">
      <c r="A40" s="1"/>
      <c r="B40" s="4" t="s">
        <v>4</v>
      </c>
      <c r="C40" s="8">
        <f>$A$43</f>
        <v>165</v>
      </c>
      <c r="D40" s="8">
        <f t="shared" ref="D40:J40" si="5">$A$43</f>
        <v>165</v>
      </c>
      <c r="E40" s="8">
        <f t="shared" si="5"/>
        <v>165</v>
      </c>
      <c r="F40" s="8">
        <f t="shared" si="5"/>
        <v>165</v>
      </c>
      <c r="G40" s="8">
        <f t="shared" si="5"/>
        <v>165</v>
      </c>
      <c r="H40" s="8">
        <f t="shared" si="5"/>
        <v>165</v>
      </c>
      <c r="I40" s="8">
        <f t="shared" si="5"/>
        <v>165</v>
      </c>
      <c r="J40" s="8">
        <f t="shared" si="5"/>
        <v>165</v>
      </c>
      <c r="K40" s="1"/>
      <c r="L40" s="1"/>
    </row>
    <row r="41" spans="1:12" x14ac:dyDescent="0.3">
      <c r="A41" s="3" t="s">
        <v>5</v>
      </c>
      <c r="B41" s="24" t="s">
        <v>6</v>
      </c>
      <c r="C41" s="1"/>
      <c r="D41" s="1"/>
      <c r="E41" s="1"/>
      <c r="F41" s="1"/>
      <c r="G41" s="9"/>
      <c r="H41" s="1"/>
      <c r="I41" s="4"/>
      <c r="J41" s="27">
        <f>J38-J40</f>
        <v>10</v>
      </c>
      <c r="K41" s="1"/>
      <c r="L41" s="1"/>
    </row>
    <row r="42" spans="1:12" x14ac:dyDescent="0.3">
      <c r="A42" s="3" t="s">
        <v>7</v>
      </c>
      <c r="B42" s="4" t="s">
        <v>8</v>
      </c>
      <c r="C42" s="1"/>
      <c r="D42" s="1"/>
      <c r="E42" s="1"/>
      <c r="F42" s="1"/>
      <c r="G42" s="9"/>
      <c r="H42" s="1"/>
      <c r="I42" s="8"/>
      <c r="J42" s="17">
        <v>10</v>
      </c>
      <c r="K42" s="1"/>
      <c r="L42" s="1"/>
    </row>
    <row r="43" spans="1:12" ht="15" thickBot="1" x14ac:dyDescent="0.35">
      <c r="A43" s="5">
        <v>165</v>
      </c>
      <c r="B43" s="6" t="s">
        <v>9</v>
      </c>
      <c r="C43" s="6"/>
      <c r="D43" s="6"/>
      <c r="E43" s="6"/>
      <c r="F43" s="6"/>
      <c r="G43" s="6"/>
      <c r="H43" s="6"/>
      <c r="I43" s="6">
        <v>10</v>
      </c>
      <c r="J43" s="6"/>
      <c r="K43" s="6"/>
      <c r="L43" s="6"/>
    </row>
    <row r="44" spans="1:12" x14ac:dyDescent="0.3">
      <c r="A44" s="3" t="s">
        <v>16</v>
      </c>
      <c r="B44" s="4" t="s">
        <v>2</v>
      </c>
      <c r="C44" s="1"/>
      <c r="D44" s="1"/>
      <c r="E44" s="1"/>
      <c r="F44" s="1"/>
      <c r="G44" s="9"/>
      <c r="H44" s="1"/>
      <c r="I44" s="8"/>
      <c r="J44" s="1">
        <f>J31*4</f>
        <v>1340</v>
      </c>
      <c r="K44" s="1"/>
      <c r="L44" s="1"/>
    </row>
    <row r="45" spans="1:12" x14ac:dyDescent="0.3">
      <c r="A45" s="3" t="s">
        <v>12</v>
      </c>
      <c r="B45" s="4" t="s">
        <v>3</v>
      </c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3">
      <c r="A46" s="1"/>
      <c r="B46" s="4" t="s">
        <v>4</v>
      </c>
      <c r="C46" s="8">
        <f>$A$49</f>
        <v>1050</v>
      </c>
      <c r="D46" s="8">
        <f t="shared" ref="D46:J46" si="6">$A$49</f>
        <v>1050</v>
      </c>
      <c r="E46" s="8">
        <f t="shared" si="6"/>
        <v>1050</v>
      </c>
      <c r="F46" s="8">
        <f t="shared" si="6"/>
        <v>1050</v>
      </c>
      <c r="G46" s="8">
        <f t="shared" si="6"/>
        <v>1050</v>
      </c>
      <c r="H46" s="8">
        <f t="shared" si="6"/>
        <v>1050</v>
      </c>
      <c r="I46" s="8">
        <f t="shared" si="6"/>
        <v>1050</v>
      </c>
      <c r="J46" s="8">
        <f t="shared" si="6"/>
        <v>1050</v>
      </c>
      <c r="K46" s="1"/>
      <c r="L46" s="1"/>
    </row>
    <row r="47" spans="1:12" x14ac:dyDescent="0.3">
      <c r="A47" s="3" t="s">
        <v>5</v>
      </c>
      <c r="B47" s="24" t="s">
        <v>6</v>
      </c>
      <c r="C47" s="1"/>
      <c r="D47" s="1"/>
      <c r="E47" s="1"/>
      <c r="F47" s="1"/>
      <c r="G47" s="9"/>
      <c r="H47" s="1"/>
      <c r="I47" s="4"/>
      <c r="J47" s="27">
        <f>J44-J46</f>
        <v>290</v>
      </c>
      <c r="K47" s="1"/>
      <c r="L47" s="1"/>
    </row>
    <row r="48" spans="1:12" x14ac:dyDescent="0.3">
      <c r="A48" s="3" t="s">
        <v>7</v>
      </c>
      <c r="B48" s="4" t="s">
        <v>8</v>
      </c>
      <c r="C48" s="1"/>
      <c r="D48" s="1"/>
      <c r="E48" s="1"/>
      <c r="F48" s="1"/>
      <c r="G48" s="9"/>
      <c r="H48" s="1"/>
      <c r="I48" s="8"/>
      <c r="J48" s="17">
        <v>290</v>
      </c>
      <c r="K48" s="1"/>
      <c r="L48" s="1"/>
    </row>
    <row r="49" spans="1:13" ht="15" thickBot="1" x14ac:dyDescent="0.35">
      <c r="A49" s="5">
        <v>1050</v>
      </c>
      <c r="B49" s="6" t="s">
        <v>9</v>
      </c>
      <c r="C49" s="6"/>
      <c r="D49" s="6"/>
      <c r="E49" s="6"/>
      <c r="F49" s="6"/>
      <c r="G49" s="6"/>
      <c r="H49" s="6"/>
      <c r="I49" s="6">
        <v>290</v>
      </c>
      <c r="J49" s="6"/>
      <c r="K49" s="6"/>
      <c r="L49" s="6"/>
    </row>
    <row r="50" spans="1:13" x14ac:dyDescent="0.3">
      <c r="A50" s="3" t="s">
        <v>17</v>
      </c>
      <c r="B50" s="4" t="s">
        <v>2</v>
      </c>
      <c r="C50" s="1"/>
      <c r="D50" s="1"/>
      <c r="E50" s="1"/>
      <c r="F50" s="1"/>
      <c r="G50" s="9"/>
      <c r="H50" s="1"/>
      <c r="I50" s="8"/>
      <c r="J50" s="1">
        <f>J31*2</f>
        <v>670</v>
      </c>
      <c r="K50" s="1"/>
      <c r="L50" s="1"/>
    </row>
    <row r="51" spans="1:13" x14ac:dyDescent="0.3">
      <c r="A51" s="3" t="s">
        <v>12</v>
      </c>
      <c r="B51" s="4" t="s">
        <v>3</v>
      </c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3" x14ac:dyDescent="0.3">
      <c r="A52" s="1"/>
      <c r="B52" s="4" t="s">
        <v>4</v>
      </c>
      <c r="C52" s="8">
        <f>$A$55</f>
        <v>110</v>
      </c>
      <c r="D52" s="8">
        <f t="shared" ref="D52:J52" si="7">$A$55</f>
        <v>110</v>
      </c>
      <c r="E52" s="8">
        <f t="shared" si="7"/>
        <v>110</v>
      </c>
      <c r="F52" s="8">
        <f t="shared" si="7"/>
        <v>110</v>
      </c>
      <c r="G52" s="8">
        <f t="shared" si="7"/>
        <v>110</v>
      </c>
      <c r="H52" s="8">
        <f t="shared" si="7"/>
        <v>110</v>
      </c>
      <c r="I52" s="8">
        <f t="shared" si="7"/>
        <v>110</v>
      </c>
      <c r="J52" s="8">
        <f t="shared" si="7"/>
        <v>110</v>
      </c>
      <c r="K52" s="1"/>
      <c r="L52" s="1"/>
    </row>
    <row r="53" spans="1:13" x14ac:dyDescent="0.3">
      <c r="A53" s="3" t="s">
        <v>5</v>
      </c>
      <c r="B53" s="24" t="s">
        <v>6</v>
      </c>
      <c r="C53" s="1"/>
      <c r="D53" s="1"/>
      <c r="E53" s="1"/>
      <c r="F53" s="1"/>
      <c r="G53" s="9"/>
      <c r="H53" s="1"/>
      <c r="I53" s="4"/>
      <c r="J53" s="27">
        <f>J50-J52</f>
        <v>560</v>
      </c>
      <c r="K53" s="1"/>
      <c r="L53" s="1"/>
    </row>
    <row r="54" spans="1:13" x14ac:dyDescent="0.3">
      <c r="A54" s="3" t="s">
        <v>7</v>
      </c>
      <c r="B54" s="4" t="s">
        <v>8</v>
      </c>
      <c r="C54" s="1"/>
      <c r="D54" s="1"/>
      <c r="E54" s="1"/>
      <c r="F54" s="1"/>
      <c r="G54" s="9"/>
      <c r="H54" s="1"/>
      <c r="I54" s="8"/>
      <c r="J54" s="17">
        <v>560</v>
      </c>
      <c r="K54" s="1"/>
      <c r="L54" s="1"/>
    </row>
    <row r="55" spans="1:13" ht="15" thickBot="1" x14ac:dyDescent="0.35">
      <c r="A55" s="5">
        <v>110</v>
      </c>
      <c r="B55" s="6" t="s">
        <v>9</v>
      </c>
      <c r="C55" s="6"/>
      <c r="D55" s="6"/>
      <c r="E55" s="6"/>
      <c r="F55" s="6"/>
      <c r="G55" s="6"/>
      <c r="H55" s="6"/>
      <c r="I55" s="6">
        <v>560</v>
      </c>
      <c r="J55" s="6"/>
      <c r="K55" s="6"/>
      <c r="L55" s="6"/>
    </row>
    <row r="56" spans="1:13" x14ac:dyDescent="0.3">
      <c r="A56" s="3"/>
      <c r="B56" s="4"/>
      <c r="C56" s="1"/>
      <c r="D56" s="1"/>
      <c r="E56" s="1"/>
      <c r="F56" s="1"/>
      <c r="G56" s="9"/>
      <c r="H56" s="1"/>
      <c r="I56" s="8"/>
      <c r="J56" s="1"/>
      <c r="K56" s="1"/>
      <c r="L56" s="1"/>
    </row>
    <row r="57" spans="1:13" x14ac:dyDescent="0.3">
      <c r="A57" s="3"/>
      <c r="B57" s="4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3" x14ac:dyDescent="0.3">
      <c r="A58" s="1"/>
      <c r="B58" s="4"/>
      <c r="C58" s="8"/>
      <c r="D58" s="8"/>
      <c r="E58" s="8"/>
      <c r="F58" s="8"/>
      <c r="G58" s="8"/>
      <c r="H58" s="8"/>
      <c r="I58" s="8"/>
      <c r="J58" s="1"/>
      <c r="K58" s="1"/>
      <c r="L58" s="1"/>
    </row>
    <row r="59" spans="1:13" x14ac:dyDescent="0.3">
      <c r="A59" s="10"/>
      <c r="B59" s="12"/>
      <c r="C59" s="13"/>
      <c r="D59" s="13"/>
      <c r="E59" s="13"/>
      <c r="F59" s="13"/>
      <c r="G59" s="14"/>
      <c r="H59" s="13"/>
      <c r="I59" s="12"/>
      <c r="J59" s="14"/>
      <c r="K59" s="13"/>
      <c r="L59" s="13"/>
      <c r="M59" s="16"/>
    </row>
    <row r="60" spans="1:13" x14ac:dyDescent="0.3">
      <c r="A60" s="10"/>
      <c r="B60" s="12"/>
      <c r="C60" s="13"/>
      <c r="D60" s="13"/>
      <c r="E60" s="13"/>
      <c r="F60" s="13"/>
      <c r="G60" s="14"/>
      <c r="H60" s="13"/>
      <c r="I60" s="15"/>
      <c r="J60" s="14"/>
      <c r="K60" s="13"/>
      <c r="L60" s="13"/>
      <c r="M60" s="16"/>
    </row>
    <row r="61" spans="1:13" x14ac:dyDescent="0.3">
      <c r="A61" s="10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6"/>
    </row>
    <row r="62" spans="1:13" x14ac:dyDescent="0.3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</row>
  </sheetData>
  <mergeCells count="11">
    <mergeCell ref="A4:L4"/>
    <mergeCell ref="A1:L3"/>
    <mergeCell ref="O23:P23"/>
    <mergeCell ref="O24:P24"/>
    <mergeCell ref="O31:P31"/>
    <mergeCell ref="O25:P25"/>
    <mergeCell ref="O26:P26"/>
    <mergeCell ref="O27:P27"/>
    <mergeCell ref="O28:P28"/>
    <mergeCell ref="O29:P29"/>
    <mergeCell ref="O30:P30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I1:AE97"/>
  <sheetViews>
    <sheetView tabSelected="1" zoomScale="82" zoomScaleNormal="82" workbookViewId="0">
      <selection activeCell="R98" sqref="R98"/>
    </sheetView>
  </sheetViews>
  <sheetFormatPr baseColWidth="10" defaultRowHeight="14.4" x14ac:dyDescent="0.3"/>
  <cols>
    <col min="13" max="13" width="20.33203125" bestFit="1" customWidth="1"/>
  </cols>
  <sheetData>
    <row r="1" spans="9:17" x14ac:dyDescent="0.3">
      <c r="I1" s="21"/>
      <c r="J1" s="30">
        <v>1</v>
      </c>
      <c r="K1" s="30">
        <v>2</v>
      </c>
      <c r="L1" s="30">
        <v>3</v>
      </c>
      <c r="M1" s="30">
        <v>4</v>
      </c>
      <c r="N1" s="30">
        <v>5</v>
      </c>
      <c r="O1" s="30">
        <v>6</v>
      </c>
      <c r="P1" s="30">
        <v>7</v>
      </c>
      <c r="Q1" s="30">
        <v>8</v>
      </c>
    </row>
    <row r="2" spans="9:17" x14ac:dyDescent="0.3">
      <c r="I2" s="30">
        <v>1</v>
      </c>
      <c r="J2" s="29"/>
      <c r="K2" s="21">
        <v>120</v>
      </c>
      <c r="L2" s="21">
        <v>150</v>
      </c>
      <c r="M2" s="21">
        <v>180</v>
      </c>
      <c r="N2" s="21">
        <v>85</v>
      </c>
      <c r="O2" s="21">
        <v>180</v>
      </c>
      <c r="P2" s="21">
        <v>450</v>
      </c>
      <c r="Q2" s="21">
        <v>100</v>
      </c>
    </row>
    <row r="3" spans="9:17" x14ac:dyDescent="0.3">
      <c r="I3" s="30">
        <v>2</v>
      </c>
      <c r="J3" s="29"/>
      <c r="K3" s="29"/>
      <c r="L3" s="21">
        <v>40</v>
      </c>
      <c r="M3" s="21">
        <v>200</v>
      </c>
      <c r="N3" s="21">
        <v>200</v>
      </c>
      <c r="O3" s="21">
        <v>180</v>
      </c>
      <c r="P3" s="21">
        <v>140</v>
      </c>
      <c r="Q3" s="21">
        <v>100</v>
      </c>
    </row>
    <row r="4" spans="9:17" x14ac:dyDescent="0.3">
      <c r="I4" s="30">
        <v>3</v>
      </c>
      <c r="J4" s="29"/>
      <c r="K4" s="29"/>
      <c r="L4" s="29"/>
      <c r="M4" s="21">
        <v>50</v>
      </c>
      <c r="N4" s="21">
        <v>90</v>
      </c>
      <c r="O4" s="21">
        <v>120</v>
      </c>
      <c r="P4" s="21">
        <v>120</v>
      </c>
      <c r="Q4" s="21">
        <v>80</v>
      </c>
    </row>
    <row r="5" spans="9:17" x14ac:dyDescent="0.3">
      <c r="I5" s="30">
        <v>4</v>
      </c>
      <c r="J5" s="29"/>
      <c r="K5" s="29"/>
      <c r="L5" s="29"/>
      <c r="M5" s="29"/>
      <c r="N5" s="21">
        <v>20</v>
      </c>
      <c r="O5" s="21">
        <v>110</v>
      </c>
      <c r="P5" s="21">
        <v>200</v>
      </c>
      <c r="Q5" s="21">
        <v>50</v>
      </c>
    </row>
    <row r="6" spans="9:17" x14ac:dyDescent="0.3">
      <c r="I6" s="30">
        <v>5</v>
      </c>
      <c r="J6" s="29"/>
      <c r="K6" s="29"/>
      <c r="L6" s="29"/>
      <c r="M6" s="29"/>
      <c r="N6" s="29"/>
      <c r="O6" s="21">
        <v>80</v>
      </c>
      <c r="P6" s="21">
        <v>250</v>
      </c>
      <c r="Q6" s="21">
        <v>140</v>
      </c>
    </row>
    <row r="7" spans="9:17" x14ac:dyDescent="0.3">
      <c r="I7" s="30">
        <v>6</v>
      </c>
      <c r="J7" s="29"/>
      <c r="K7" s="29"/>
      <c r="L7" s="29"/>
      <c r="M7" s="29"/>
      <c r="N7" s="29"/>
      <c r="O7" s="29"/>
      <c r="P7" s="21">
        <v>380</v>
      </c>
      <c r="Q7" s="21">
        <v>230</v>
      </c>
    </row>
    <row r="8" spans="9:17" x14ac:dyDescent="0.3">
      <c r="I8" s="30">
        <v>7</v>
      </c>
      <c r="J8" s="29"/>
      <c r="K8" s="29"/>
      <c r="L8" s="29"/>
      <c r="M8" s="29"/>
      <c r="N8" s="29"/>
      <c r="O8" s="29"/>
      <c r="P8" s="29"/>
      <c r="Q8" s="21">
        <v>20</v>
      </c>
    </row>
    <row r="9" spans="9:17" x14ac:dyDescent="0.3">
      <c r="I9" s="30">
        <v>8</v>
      </c>
      <c r="J9" s="29"/>
      <c r="K9" s="29"/>
      <c r="L9" s="29"/>
      <c r="M9" s="29"/>
      <c r="N9" s="29"/>
      <c r="O9" s="29"/>
      <c r="P9" s="29"/>
      <c r="Q9" s="29"/>
    </row>
    <row r="11" spans="9:17" x14ac:dyDescent="0.3">
      <c r="I11" t="s">
        <v>21</v>
      </c>
    </row>
    <row r="14" spans="9:17" x14ac:dyDescent="0.3">
      <c r="I14" t="s">
        <v>22</v>
      </c>
      <c r="J14" s="31" t="s">
        <v>24</v>
      </c>
    </row>
    <row r="15" spans="9:17" x14ac:dyDescent="0.3">
      <c r="J15" s="47">
        <v>1</v>
      </c>
      <c r="K15" s="47">
        <v>2</v>
      </c>
      <c r="L15" s="47">
        <v>3</v>
      </c>
      <c r="M15" s="47">
        <v>4</v>
      </c>
    </row>
    <row r="16" spans="9:17" x14ac:dyDescent="0.3">
      <c r="I16" s="32" t="s">
        <v>24</v>
      </c>
      <c r="J16" s="47"/>
      <c r="K16" s="47"/>
      <c r="L16" s="47"/>
      <c r="M16" s="47"/>
    </row>
    <row r="17" spans="9:20" x14ac:dyDescent="0.3">
      <c r="J17" s="47"/>
      <c r="K17" s="47"/>
      <c r="L17" s="47"/>
      <c r="M17" s="47"/>
      <c r="O17" s="45" t="s">
        <v>25</v>
      </c>
    </row>
    <row r="18" spans="9:20" x14ac:dyDescent="0.3">
      <c r="J18" s="47">
        <v>5</v>
      </c>
      <c r="K18" s="47">
        <v>6</v>
      </c>
      <c r="L18" s="47">
        <v>7</v>
      </c>
      <c r="M18" s="47">
        <v>8</v>
      </c>
      <c r="O18" s="45"/>
    </row>
    <row r="19" spans="9:20" x14ac:dyDescent="0.3">
      <c r="J19" s="47"/>
      <c r="K19" s="47"/>
      <c r="L19" s="47"/>
      <c r="M19" s="47"/>
    </row>
    <row r="20" spans="9:20" x14ac:dyDescent="0.3">
      <c r="J20" s="47"/>
      <c r="K20" s="47"/>
      <c r="L20" s="47"/>
      <c r="M20" s="47"/>
    </row>
    <row r="22" spans="9:20" x14ac:dyDescent="0.3">
      <c r="L22" t="s">
        <v>26</v>
      </c>
    </row>
    <row r="23" spans="9:20" x14ac:dyDescent="0.3">
      <c r="I23" t="s">
        <v>23</v>
      </c>
    </row>
    <row r="24" spans="9:20" x14ac:dyDescent="0.3"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</row>
    <row r="25" spans="9:20" x14ac:dyDescent="0.3"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</row>
    <row r="26" spans="9:20" x14ac:dyDescent="0.3"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</row>
    <row r="27" spans="9:20" x14ac:dyDescent="0.3"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</row>
    <row r="28" spans="9:20" x14ac:dyDescent="0.3"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</row>
    <row r="29" spans="9:20" x14ac:dyDescent="0.3"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</row>
    <row r="30" spans="9:20" x14ac:dyDescent="0.3"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</row>
    <row r="31" spans="9:20" x14ac:dyDescent="0.3"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</row>
    <row r="32" spans="9:20" x14ac:dyDescent="0.3"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</row>
    <row r="33" spans="9:20" x14ac:dyDescent="0.3"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</row>
    <row r="34" spans="9:20" x14ac:dyDescent="0.3"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</row>
    <row r="35" spans="9:20" x14ac:dyDescent="0.3"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</row>
    <row r="36" spans="9:20" x14ac:dyDescent="0.3"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</row>
    <row r="37" spans="9:20" x14ac:dyDescent="0.3"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</row>
    <row r="38" spans="9:20" x14ac:dyDescent="0.3"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</row>
    <row r="39" spans="9:20" x14ac:dyDescent="0.3"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</row>
    <row r="40" spans="9:20" x14ac:dyDescent="0.3"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</row>
    <row r="41" spans="9:20" x14ac:dyDescent="0.3"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</row>
    <row r="43" spans="9:20" ht="27" customHeight="1" x14ac:dyDescent="0.45">
      <c r="I43" t="s">
        <v>27</v>
      </c>
      <c r="J43" s="46" t="s">
        <v>28</v>
      </c>
      <c r="K43" s="44"/>
      <c r="L43" s="44"/>
      <c r="M43" s="44"/>
      <c r="N43" s="44"/>
      <c r="O43" s="44"/>
      <c r="P43" s="44"/>
      <c r="Q43" s="44"/>
      <c r="R43" s="44"/>
      <c r="S43" s="47" t="s">
        <v>29</v>
      </c>
      <c r="T43" s="47"/>
    </row>
    <row r="44" spans="9:20" x14ac:dyDescent="0.3">
      <c r="J44" s="21"/>
      <c r="K44" s="30">
        <v>1</v>
      </c>
      <c r="L44" s="30">
        <v>2</v>
      </c>
      <c r="M44" s="30">
        <v>3</v>
      </c>
      <c r="N44" s="30">
        <v>4</v>
      </c>
      <c r="O44" s="30">
        <v>5</v>
      </c>
      <c r="P44" s="30">
        <v>6</v>
      </c>
      <c r="Q44" s="30">
        <v>7</v>
      </c>
      <c r="R44" s="30">
        <v>8</v>
      </c>
      <c r="S44" s="47"/>
      <c r="T44" s="47"/>
    </row>
    <row r="45" spans="9:20" x14ac:dyDescent="0.3">
      <c r="J45" s="30">
        <v>1</v>
      </c>
      <c r="K45" s="29"/>
      <c r="L45" s="33">
        <f>120*5000</f>
        <v>600000</v>
      </c>
      <c r="M45" s="33">
        <f>150*10000</f>
        <v>1500000</v>
      </c>
      <c r="N45" s="35">
        <f>180*15000</f>
        <v>2700000</v>
      </c>
      <c r="O45" s="33">
        <f>85*5000</f>
        <v>425000</v>
      </c>
      <c r="P45" s="33">
        <f>180*5000</f>
        <v>900000</v>
      </c>
      <c r="Q45" s="35">
        <f>450*10000</f>
        <v>4500000</v>
      </c>
      <c r="R45" s="33">
        <f>100*15000</f>
        <v>1500000</v>
      </c>
      <c r="S45" s="48">
        <f>SUM(L45:R45)</f>
        <v>12125000</v>
      </c>
      <c r="T45" s="48"/>
    </row>
    <row r="46" spans="9:20" x14ac:dyDescent="0.3">
      <c r="J46" s="30">
        <v>2</v>
      </c>
      <c r="K46" s="29"/>
      <c r="L46" s="34"/>
      <c r="M46" s="33">
        <f>40*5000</f>
        <v>200000</v>
      </c>
      <c r="N46" s="35">
        <f>200*10000</f>
        <v>2000000</v>
      </c>
      <c r="O46" s="33">
        <f>200*5000</f>
        <v>1000000</v>
      </c>
      <c r="P46" s="33">
        <f>180*5000</f>
        <v>900000</v>
      </c>
      <c r="Q46" s="33">
        <f>140*5000</f>
        <v>700000</v>
      </c>
      <c r="R46" s="33">
        <f>100*10000</f>
        <v>1000000</v>
      </c>
      <c r="S46" s="48">
        <f t="shared" ref="S46:S51" si="0">SUM(L46:R46)</f>
        <v>5800000</v>
      </c>
      <c r="T46" s="48"/>
    </row>
    <row r="47" spans="9:20" x14ac:dyDescent="0.3">
      <c r="J47" s="30">
        <v>3</v>
      </c>
      <c r="K47" s="29"/>
      <c r="L47" s="34"/>
      <c r="M47" s="34"/>
      <c r="N47" s="33">
        <f>50*5000</f>
        <v>250000</v>
      </c>
      <c r="O47" s="33">
        <f>90*10000</f>
        <v>900000</v>
      </c>
      <c r="P47" s="33">
        <f>120*5000</f>
        <v>600000</v>
      </c>
      <c r="Q47" s="33">
        <f>120*5000</f>
        <v>600000</v>
      </c>
      <c r="R47" s="33">
        <f>80*5000</f>
        <v>400000</v>
      </c>
      <c r="S47" s="48">
        <f t="shared" si="0"/>
        <v>2750000</v>
      </c>
      <c r="T47" s="48"/>
    </row>
    <row r="48" spans="9:20" x14ac:dyDescent="0.3">
      <c r="J48" s="30">
        <v>4</v>
      </c>
      <c r="K48" s="29"/>
      <c r="L48" s="34"/>
      <c r="M48" s="34"/>
      <c r="N48" s="34"/>
      <c r="O48" s="33">
        <f>20*15000</f>
        <v>300000</v>
      </c>
      <c r="P48" s="35">
        <f>110*10000</f>
        <v>1100000</v>
      </c>
      <c r="Q48" s="33">
        <f>5000*200</f>
        <v>1000000</v>
      </c>
      <c r="R48" s="33">
        <f>50*5000</f>
        <v>250000</v>
      </c>
      <c r="S48" s="48">
        <f t="shared" si="0"/>
        <v>2650000</v>
      </c>
      <c r="T48" s="48"/>
    </row>
    <row r="49" spans="9:31" x14ac:dyDescent="0.3">
      <c r="J49" s="30">
        <v>5</v>
      </c>
      <c r="K49" s="29"/>
      <c r="L49" s="34"/>
      <c r="M49" s="34"/>
      <c r="N49" s="34"/>
      <c r="O49" s="34"/>
      <c r="P49" s="33">
        <f>80*5000</f>
        <v>400000</v>
      </c>
      <c r="Q49" s="35">
        <f>250*10000</f>
        <v>2500000</v>
      </c>
      <c r="R49" s="35">
        <f>140*15000</f>
        <v>2100000</v>
      </c>
      <c r="S49" s="48">
        <f t="shared" si="0"/>
        <v>5000000</v>
      </c>
      <c r="T49" s="48"/>
    </row>
    <row r="50" spans="9:31" x14ac:dyDescent="0.3">
      <c r="J50" s="30">
        <v>6</v>
      </c>
      <c r="K50" s="29"/>
      <c r="L50" s="34"/>
      <c r="M50" s="34"/>
      <c r="N50" s="34"/>
      <c r="O50" s="34"/>
      <c r="P50" s="34"/>
      <c r="Q50" s="33">
        <f>380*5000</f>
        <v>1900000</v>
      </c>
      <c r="R50" s="35">
        <f>230*10000</f>
        <v>2300000</v>
      </c>
      <c r="S50" s="48">
        <f t="shared" si="0"/>
        <v>4200000</v>
      </c>
      <c r="T50" s="48"/>
    </row>
    <row r="51" spans="9:31" x14ac:dyDescent="0.3">
      <c r="J51" s="30">
        <v>7</v>
      </c>
      <c r="K51" s="29"/>
      <c r="L51" s="34"/>
      <c r="M51" s="34"/>
      <c r="N51" s="34"/>
      <c r="O51" s="34"/>
      <c r="P51" s="34"/>
      <c r="Q51" s="34"/>
      <c r="R51" s="33">
        <f>20*5000</f>
        <v>100000</v>
      </c>
      <c r="S51" s="48">
        <f t="shared" si="0"/>
        <v>100000</v>
      </c>
      <c r="T51" s="48"/>
    </row>
    <row r="52" spans="9:31" x14ac:dyDescent="0.3">
      <c r="J52" s="30">
        <v>8</v>
      </c>
      <c r="K52" s="29"/>
      <c r="L52" s="29"/>
      <c r="M52" s="29"/>
      <c r="N52" s="29"/>
      <c r="O52" s="29"/>
      <c r="P52" s="29"/>
      <c r="Q52" s="29"/>
      <c r="R52" s="29"/>
      <c r="S52" s="44"/>
      <c r="T52" s="44"/>
    </row>
    <row r="53" spans="9:31" x14ac:dyDescent="0.3">
      <c r="J53" s="50" t="s">
        <v>30</v>
      </c>
      <c r="K53" s="50"/>
      <c r="L53" s="50"/>
      <c r="M53" s="50"/>
      <c r="N53" s="50"/>
      <c r="O53" s="50"/>
      <c r="P53" s="50"/>
      <c r="Q53" s="50"/>
      <c r="R53" s="50"/>
      <c r="S53" s="49">
        <f>SUM(S45:T51)</f>
        <v>32625000</v>
      </c>
      <c r="T53" s="49"/>
    </row>
    <row r="54" spans="9:31" x14ac:dyDescent="0.3">
      <c r="J54" s="50"/>
      <c r="K54" s="50"/>
      <c r="L54" s="50"/>
      <c r="M54" s="50"/>
      <c r="N54" s="50"/>
      <c r="O54" s="50"/>
      <c r="P54" s="50"/>
      <c r="Q54" s="50"/>
      <c r="R54" s="50"/>
      <c r="S54" s="49"/>
      <c r="T54" s="49"/>
    </row>
    <row r="58" spans="9:31" x14ac:dyDescent="0.3">
      <c r="I58" t="s">
        <v>31</v>
      </c>
    </row>
    <row r="60" spans="9:31" x14ac:dyDescent="0.3"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</row>
    <row r="61" spans="9:31" x14ac:dyDescent="0.3"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</row>
    <row r="62" spans="9:31" x14ac:dyDescent="0.3"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36"/>
      <c r="V62" s="36"/>
      <c r="W62" s="37"/>
      <c r="X62" s="37"/>
      <c r="Y62" s="37"/>
      <c r="Z62" s="37"/>
      <c r="AA62" s="37"/>
      <c r="AB62" s="37"/>
      <c r="AC62" s="37"/>
      <c r="AD62" s="37"/>
      <c r="AE62" s="36"/>
    </row>
    <row r="63" spans="9:31" x14ac:dyDescent="0.3"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36"/>
      <c r="V63" s="37"/>
      <c r="W63" s="36"/>
      <c r="X63" s="36"/>
      <c r="Y63" s="36"/>
      <c r="Z63" s="36"/>
      <c r="AA63" s="36"/>
      <c r="AB63" s="36"/>
      <c r="AC63" s="36"/>
      <c r="AD63" s="36"/>
      <c r="AE63" s="36"/>
    </row>
    <row r="64" spans="9:31" x14ac:dyDescent="0.3"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36"/>
      <c r="V64" s="37"/>
      <c r="W64" s="36"/>
      <c r="X64" s="36"/>
      <c r="Y64" s="36"/>
      <c r="Z64" s="36"/>
      <c r="AA64" s="36"/>
      <c r="AB64" s="36"/>
      <c r="AC64" s="36"/>
      <c r="AD64" s="36"/>
      <c r="AE64" s="36"/>
    </row>
    <row r="65" spans="10:31" x14ac:dyDescent="0.3"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36"/>
      <c r="V65" s="37"/>
      <c r="W65" s="36"/>
      <c r="X65" s="36"/>
      <c r="Y65" s="36"/>
      <c r="Z65" s="36"/>
      <c r="AA65" s="36"/>
      <c r="AB65" s="36"/>
      <c r="AC65" s="36"/>
      <c r="AD65" s="36"/>
      <c r="AE65" s="36"/>
    </row>
    <row r="66" spans="10:31" x14ac:dyDescent="0.3"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36"/>
      <c r="V66" s="37"/>
      <c r="W66" s="36"/>
      <c r="X66" s="36"/>
      <c r="Y66" s="36"/>
      <c r="Z66" s="36"/>
      <c r="AA66" s="36"/>
      <c r="AB66" s="36"/>
      <c r="AC66" s="36"/>
      <c r="AD66" s="36"/>
      <c r="AE66" s="36"/>
    </row>
    <row r="67" spans="10:31" x14ac:dyDescent="0.3"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36"/>
      <c r="V67" s="37"/>
      <c r="W67" s="36"/>
      <c r="X67" s="36"/>
      <c r="Y67" s="36"/>
      <c r="Z67" s="36"/>
      <c r="AA67" s="36"/>
      <c r="AB67" s="36"/>
      <c r="AC67" s="36"/>
      <c r="AD67" s="36"/>
      <c r="AE67" s="36"/>
    </row>
    <row r="68" spans="10:31" x14ac:dyDescent="0.3"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36"/>
      <c r="V68" s="37"/>
      <c r="W68" s="36"/>
      <c r="X68" s="36"/>
      <c r="Y68" s="36"/>
      <c r="Z68" s="36"/>
      <c r="AA68" s="36"/>
      <c r="AB68" s="36"/>
      <c r="AC68" s="36"/>
      <c r="AD68" s="36"/>
      <c r="AE68" s="36"/>
    </row>
    <row r="69" spans="10:31" x14ac:dyDescent="0.3"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36"/>
      <c r="V69" s="37"/>
      <c r="W69" s="36"/>
      <c r="X69" s="36"/>
      <c r="Y69" s="36"/>
      <c r="Z69" s="36"/>
      <c r="AA69" s="36"/>
      <c r="AB69" s="36"/>
      <c r="AC69" s="36"/>
      <c r="AD69" s="36"/>
      <c r="AE69" s="36"/>
    </row>
    <row r="70" spans="10:31" x14ac:dyDescent="0.3"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36"/>
      <c r="V70" s="37"/>
      <c r="W70" s="36"/>
      <c r="X70" s="36"/>
      <c r="Y70" s="36"/>
      <c r="Z70" s="36"/>
      <c r="AA70" s="36"/>
      <c r="AB70" s="36"/>
      <c r="AC70" s="36"/>
      <c r="AD70" s="36"/>
      <c r="AE70" s="36"/>
    </row>
    <row r="71" spans="10:31" x14ac:dyDescent="0.3"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</row>
    <row r="72" spans="10:31" x14ac:dyDescent="0.3"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</row>
    <row r="73" spans="10:31" x14ac:dyDescent="0.3"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</row>
    <row r="74" spans="10:31" x14ac:dyDescent="0.3"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</row>
    <row r="75" spans="10:31" x14ac:dyDescent="0.3"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</row>
    <row r="76" spans="10:31" x14ac:dyDescent="0.3"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</row>
    <row r="77" spans="10:31" x14ac:dyDescent="0.3"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</row>
    <row r="81" spans="9:24" x14ac:dyDescent="0.3">
      <c r="I81" t="s">
        <v>32</v>
      </c>
    </row>
    <row r="82" spans="9:24" ht="23.4" x14ac:dyDescent="0.45">
      <c r="J82" s="46" t="s">
        <v>28</v>
      </c>
      <c r="K82" s="44"/>
      <c r="L82" s="44"/>
      <c r="M82" s="44"/>
      <c r="N82" s="44"/>
      <c r="O82" s="44"/>
      <c r="P82" s="44"/>
      <c r="Q82" s="44"/>
      <c r="R82" s="44"/>
      <c r="S82" s="47" t="s">
        <v>29</v>
      </c>
      <c r="T82" s="47"/>
    </row>
    <row r="83" spans="9:24" x14ac:dyDescent="0.3">
      <c r="J83" s="21"/>
      <c r="K83" s="30">
        <v>1</v>
      </c>
      <c r="L83" s="30">
        <v>2</v>
      </c>
      <c r="M83" s="30">
        <v>3</v>
      </c>
      <c r="N83" s="30">
        <v>4</v>
      </c>
      <c r="O83" s="30">
        <v>5</v>
      </c>
      <c r="P83" s="30">
        <v>6</v>
      </c>
      <c r="Q83" s="30">
        <v>7</v>
      </c>
      <c r="R83" s="30">
        <v>8</v>
      </c>
      <c r="S83" s="47"/>
      <c r="T83" s="47"/>
    </row>
    <row r="84" spans="9:24" x14ac:dyDescent="0.3">
      <c r="J84" s="30">
        <v>1</v>
      </c>
      <c r="K84" s="29"/>
      <c r="L84" s="33">
        <f>120*5000</f>
        <v>600000</v>
      </c>
      <c r="M84" s="33">
        <f>150*10000</f>
        <v>1500000</v>
      </c>
      <c r="N84" s="38">
        <f>180*5000</f>
        <v>900000</v>
      </c>
      <c r="O84" s="38">
        <f>85*5000</f>
        <v>425000</v>
      </c>
      <c r="P84" s="38">
        <f>180*10000</f>
        <v>1800000</v>
      </c>
      <c r="Q84" s="38">
        <f>450*5000</f>
        <v>2250000</v>
      </c>
      <c r="R84" s="38">
        <f>100*15000</f>
        <v>1500000</v>
      </c>
      <c r="S84" s="48">
        <f>SUM(L84:R84)</f>
        <v>8975000</v>
      </c>
      <c r="T84" s="48"/>
    </row>
    <row r="85" spans="9:24" x14ac:dyDescent="0.3">
      <c r="J85" s="30">
        <v>2</v>
      </c>
      <c r="K85" s="29"/>
      <c r="L85" s="34"/>
      <c r="M85" s="33">
        <f>40*5000</f>
        <v>200000</v>
      </c>
      <c r="N85" s="38">
        <f>200*5000</f>
        <v>1000000</v>
      </c>
      <c r="O85" s="38">
        <f>200*10000</f>
        <v>2000000</v>
      </c>
      <c r="P85" s="38">
        <f>180*5000</f>
        <v>900000</v>
      </c>
      <c r="Q85" s="38">
        <f>140*5000</f>
        <v>700000</v>
      </c>
      <c r="R85" s="38">
        <f>100*10000</f>
        <v>1000000</v>
      </c>
      <c r="S85" s="48">
        <f t="shared" ref="S85:S90" si="1">SUM(L85:R85)</f>
        <v>5800000</v>
      </c>
      <c r="T85" s="48"/>
    </row>
    <row r="86" spans="9:24" x14ac:dyDescent="0.3">
      <c r="J86" s="30">
        <v>3</v>
      </c>
      <c r="K86" s="29"/>
      <c r="L86" s="34"/>
      <c r="M86" s="34"/>
      <c r="N86" s="38">
        <f>50*10000</f>
        <v>500000</v>
      </c>
      <c r="O86" s="38">
        <f>90*5000</f>
        <v>450000</v>
      </c>
      <c r="P86" s="38">
        <f>120*5000</f>
        <v>600000</v>
      </c>
      <c r="Q86" s="38">
        <f>120*5000</f>
        <v>600000</v>
      </c>
      <c r="R86" s="38">
        <f>80*5000</f>
        <v>400000</v>
      </c>
      <c r="S86" s="48">
        <f t="shared" si="1"/>
        <v>2550000</v>
      </c>
      <c r="T86" s="48"/>
    </row>
    <row r="87" spans="9:24" x14ac:dyDescent="0.3">
      <c r="J87" s="30">
        <v>4</v>
      </c>
      <c r="K87" s="29"/>
      <c r="L87" s="34"/>
      <c r="M87" s="34"/>
      <c r="N87" s="39"/>
      <c r="O87" s="38">
        <f>20*15000</f>
        <v>300000</v>
      </c>
      <c r="P87" s="38">
        <f>110*10000</f>
        <v>1100000</v>
      </c>
      <c r="Q87" s="38">
        <f>5000*200</f>
        <v>1000000</v>
      </c>
      <c r="R87" s="38">
        <f>50*15000</f>
        <v>750000</v>
      </c>
      <c r="S87" s="48">
        <f t="shared" si="1"/>
        <v>3150000</v>
      </c>
      <c r="T87" s="48"/>
    </row>
    <row r="88" spans="9:24" x14ac:dyDescent="0.3">
      <c r="J88" s="30">
        <v>5</v>
      </c>
      <c r="K88" s="29"/>
      <c r="L88" s="34"/>
      <c r="M88" s="34"/>
      <c r="N88" s="39"/>
      <c r="O88" s="39"/>
      <c r="P88" s="38">
        <f>80*5000</f>
        <v>400000</v>
      </c>
      <c r="Q88" s="38">
        <f>250*10000</f>
        <v>2500000</v>
      </c>
      <c r="R88" s="38">
        <f>140*5000</f>
        <v>700000</v>
      </c>
      <c r="S88" s="48">
        <f t="shared" si="1"/>
        <v>3600000</v>
      </c>
      <c r="T88" s="48"/>
    </row>
    <row r="89" spans="9:24" x14ac:dyDescent="0.3">
      <c r="J89" s="30">
        <v>6</v>
      </c>
      <c r="K89" s="29"/>
      <c r="L89" s="34"/>
      <c r="M89" s="34"/>
      <c r="N89" s="39"/>
      <c r="O89" s="39"/>
      <c r="P89" s="39"/>
      <c r="Q89" s="38">
        <f>380*5000</f>
        <v>1900000</v>
      </c>
      <c r="R89" s="38">
        <f>230*5000</f>
        <v>1150000</v>
      </c>
      <c r="S89" s="48">
        <f t="shared" si="1"/>
        <v>3050000</v>
      </c>
      <c r="T89" s="48"/>
    </row>
    <row r="90" spans="9:24" x14ac:dyDescent="0.3">
      <c r="J90" s="30">
        <v>7</v>
      </c>
      <c r="K90" s="29"/>
      <c r="L90" s="34"/>
      <c r="M90" s="34"/>
      <c r="N90" s="34"/>
      <c r="O90" s="34"/>
      <c r="P90" s="34"/>
      <c r="Q90" s="34"/>
      <c r="R90" s="33">
        <f>20*10000</f>
        <v>200000</v>
      </c>
      <c r="S90" s="48">
        <f t="shared" si="1"/>
        <v>200000</v>
      </c>
      <c r="T90" s="48"/>
    </row>
    <row r="91" spans="9:24" x14ac:dyDescent="0.3">
      <c r="J91" s="30">
        <v>8</v>
      </c>
      <c r="K91" s="29"/>
      <c r="L91" s="29"/>
      <c r="M91" s="29"/>
      <c r="N91" s="29"/>
      <c r="O91" s="29"/>
      <c r="P91" s="29"/>
      <c r="Q91" s="29"/>
      <c r="R91" s="29"/>
      <c r="S91" s="44"/>
      <c r="T91" s="44"/>
    </row>
    <row r="92" spans="9:24" x14ac:dyDescent="0.3">
      <c r="J92" s="50" t="s">
        <v>30</v>
      </c>
      <c r="K92" s="50"/>
      <c r="L92" s="50"/>
      <c r="M92" s="50"/>
      <c r="N92" s="50"/>
      <c r="O92" s="50"/>
      <c r="P92" s="50"/>
      <c r="Q92" s="50"/>
      <c r="R92" s="50"/>
      <c r="S92" s="49">
        <f>SUM(S84:T90)</f>
        <v>27325000</v>
      </c>
      <c r="T92" s="49"/>
      <c r="U92" s="51" t="s">
        <v>33</v>
      </c>
      <c r="V92" s="52"/>
      <c r="W92" s="52"/>
      <c r="X92" s="52"/>
    </row>
    <row r="93" spans="9:24" x14ac:dyDescent="0.3">
      <c r="J93" s="50"/>
      <c r="K93" s="50"/>
      <c r="L93" s="50"/>
      <c r="M93" s="50"/>
      <c r="N93" s="50"/>
      <c r="O93" s="50"/>
      <c r="P93" s="50"/>
      <c r="Q93" s="50"/>
      <c r="R93" s="50"/>
      <c r="S93" s="49"/>
      <c r="T93" s="49"/>
      <c r="U93" s="51"/>
      <c r="V93" s="52"/>
      <c r="W93" s="52"/>
      <c r="X93" s="52"/>
    </row>
    <row r="97" spans="11:13" ht="31.2" x14ac:dyDescent="0.6">
      <c r="K97" s="53" t="s">
        <v>34</v>
      </c>
      <c r="L97" s="53"/>
      <c r="M97" s="40">
        <f>S53-S92</f>
        <v>5300000</v>
      </c>
    </row>
  </sheetData>
  <mergeCells count="37">
    <mergeCell ref="J92:R93"/>
    <mergeCell ref="S92:T93"/>
    <mergeCell ref="U92:X93"/>
    <mergeCell ref="K97:L97"/>
    <mergeCell ref="S86:T86"/>
    <mergeCell ref="S87:T87"/>
    <mergeCell ref="S88:T88"/>
    <mergeCell ref="S89:T89"/>
    <mergeCell ref="S90:T90"/>
    <mergeCell ref="S91:T91"/>
    <mergeCell ref="J53:R54"/>
    <mergeCell ref="J60:T77"/>
    <mergeCell ref="J82:R82"/>
    <mergeCell ref="S82:T83"/>
    <mergeCell ref="S84:T84"/>
    <mergeCell ref="S85:T85"/>
    <mergeCell ref="S51:T51"/>
    <mergeCell ref="S52:T52"/>
    <mergeCell ref="S43:T44"/>
    <mergeCell ref="S53:T54"/>
    <mergeCell ref="S45:T45"/>
    <mergeCell ref="S46:T46"/>
    <mergeCell ref="S47:T47"/>
    <mergeCell ref="S48:T48"/>
    <mergeCell ref="S49:T49"/>
    <mergeCell ref="S50:T50"/>
    <mergeCell ref="J24:T41"/>
    <mergeCell ref="O17:O18"/>
    <mergeCell ref="J43:R43"/>
    <mergeCell ref="L15:L17"/>
    <mergeCell ref="M15:M17"/>
    <mergeCell ref="J18:J20"/>
    <mergeCell ref="K18:K20"/>
    <mergeCell ref="L18:L20"/>
    <mergeCell ref="M18:M20"/>
    <mergeCell ref="J15:J17"/>
    <mergeCell ref="K15:K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TEMA 1</vt:lpstr>
      <vt:lpstr>TEMA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</dc:creator>
  <cp:lastModifiedBy>Nelson Escobar</cp:lastModifiedBy>
  <dcterms:created xsi:type="dcterms:W3CDTF">2023-12-05T18:54:01Z</dcterms:created>
  <dcterms:modified xsi:type="dcterms:W3CDTF">2025-10-26T19:11:43Z</dcterms:modified>
</cp:coreProperties>
</file>