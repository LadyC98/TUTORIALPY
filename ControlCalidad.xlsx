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31AF0B51-57CB-46FE-BD11-713CC41ED1E2}" xr6:coauthVersionLast="47" xr6:coauthVersionMax="47" xr10:uidLastSave="{00000000-0000-0000-0000-000000000000}"/>
  <bookViews>
    <workbookView xWindow="12" yWindow="720" windowWidth="23028" windowHeight="12240" xr2:uid="{9C95DA63-C776-43DA-8499-66641D17BD75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K22" i="1"/>
  <c r="H22" i="1"/>
  <c r="L22" i="1"/>
  <c r="K35" i="1"/>
  <c r="H35" i="1"/>
  <c r="L35" i="1"/>
  <c r="K33" i="1"/>
  <c r="H33" i="1"/>
  <c r="L33" i="1"/>
  <c r="K16" i="1"/>
  <c r="H16" i="1"/>
  <c r="L16" i="1"/>
  <c r="K14" i="1"/>
  <c r="H14" i="1"/>
  <c r="L14" i="1"/>
  <c r="L31" i="1"/>
  <c r="H31" i="1"/>
  <c r="K31" i="1"/>
  <c r="K30" i="1"/>
  <c r="H30" i="1"/>
  <c r="L30" i="1"/>
  <c r="L38" i="1"/>
  <c r="H38" i="1"/>
  <c r="K38" i="1"/>
  <c r="K27" i="1"/>
  <c r="H27" i="1"/>
  <c r="L27" i="1"/>
  <c r="L40" i="1"/>
  <c r="H40" i="1"/>
  <c r="K40" i="1"/>
  <c r="L19" i="1"/>
  <c r="H19" i="1"/>
  <c r="K19" i="1"/>
  <c r="K26" i="1"/>
  <c r="H26" i="1"/>
  <c r="L26" i="1"/>
  <c r="K29" i="1"/>
  <c r="H29" i="1"/>
  <c r="L29" i="1"/>
  <c r="L28" i="1"/>
  <c r="H28" i="1"/>
  <c r="K28" i="1"/>
  <c r="K43" i="1"/>
  <c r="H43" i="1"/>
  <c r="L43" i="1"/>
  <c r="L18" i="1"/>
  <c r="H18" i="1"/>
  <c r="K18" i="1"/>
  <c r="K25" i="1"/>
  <c r="H25" i="1"/>
  <c r="L25" i="1"/>
  <c r="L15" i="1"/>
  <c r="H15" i="1"/>
  <c r="K15" i="1"/>
  <c r="L21" i="1"/>
  <c r="H21" i="1"/>
  <c r="K21" i="1"/>
  <c r="L17" i="1"/>
  <c r="H17" i="1"/>
  <c r="K17" i="1"/>
  <c r="K39" i="1"/>
  <c r="H39" i="1"/>
  <c r="L39" i="1"/>
  <c r="L34" i="1"/>
  <c r="H34" i="1"/>
  <c r="K34" i="1"/>
  <c r="L32" i="1"/>
  <c r="H32" i="1"/>
  <c r="K32" i="1"/>
  <c r="L42" i="1"/>
  <c r="H42" i="1"/>
  <c r="K42" i="1"/>
  <c r="J17" i="1"/>
  <c r="J23" i="1"/>
  <c r="J19" i="1"/>
  <c r="J25" i="1"/>
  <c r="J40" i="1"/>
  <c r="J34" i="1"/>
  <c r="J43" i="1"/>
  <c r="J26" i="1"/>
  <c r="J42" i="1"/>
  <c r="J28" i="1"/>
  <c r="J14" i="1"/>
  <c r="J15" i="1"/>
  <c r="J16" i="1"/>
  <c r="J38" i="1"/>
  <c r="J30" i="1"/>
  <c r="J20" i="1"/>
  <c r="J31" i="1"/>
  <c r="J21" i="1"/>
  <c r="J37" i="1"/>
  <c r="J27" i="1"/>
  <c r="J22" i="1"/>
  <c r="J24" i="1"/>
  <c r="J36" i="1"/>
  <c r="J29" i="1"/>
  <c r="J18" i="1"/>
  <c r="J33" i="1"/>
  <c r="J35" i="1"/>
  <c r="J32" i="1"/>
  <c r="J41" i="1"/>
  <c r="J13" i="1"/>
  <c r="J39" i="1"/>
  <c r="L24" i="1"/>
  <c r="H24" i="1"/>
  <c r="K24" i="1"/>
  <c r="K36" i="1"/>
  <c r="H36" i="1"/>
  <c r="L36" i="1"/>
  <c r="L20" i="1"/>
  <c r="H20" i="1"/>
  <c r="K20" i="1"/>
  <c r="K41" i="1"/>
  <c r="H41" i="1"/>
  <c r="L41" i="1"/>
  <c r="L23" i="1"/>
  <c r="H23" i="1"/>
  <c r="K23" i="1"/>
  <c r="K13" i="1"/>
  <c r="L13" i="1"/>
  <c r="K37" i="1"/>
  <c r="H13" i="1"/>
  <c r="H37" i="1"/>
  <c r="L37" i="1"/>
</calcChain>
</file>

<file path=xl/sharedStrings.xml><?xml version="1.0" encoding="utf-8"?>
<sst xmlns="http://schemas.openxmlformats.org/spreadsheetml/2006/main" count="34" uniqueCount="34">
  <si>
    <t>NOMBRE DE LA UBICACIÓN</t>
  </si>
  <si>
    <t>ID DE LA UBICACIÓN</t>
  </si>
  <si>
    <t>FECHA DE INICIO</t>
  </si>
  <si>
    <t>FECHA DE FINALIZACIÓN</t>
  </si>
  <si>
    <t>FECHA DE INFORME</t>
  </si>
  <si>
    <t>SP2</t>
  </si>
  <si>
    <t>DEPARTAMENTO</t>
  </si>
  <si>
    <t>TEC DE CONTROL DE CALIDAD</t>
  </si>
  <si>
    <t>NOMBRE DEL EQUIPO</t>
  </si>
  <si>
    <t>ID DEL EQUIPO</t>
  </si>
  <si>
    <t>Garantía de calidad</t>
  </si>
  <si>
    <t>Creed Bratton</t>
  </si>
  <si>
    <t>Fresadora vertical</t>
  </si>
  <si>
    <t>VMM6</t>
  </si>
  <si>
    <t xml:space="preserve">Introduzca el porcentaje a continuación. </t>
  </si>
  <si>
    <t>NIVEL DESEADO</t>
  </si>
  <si>
    <t>COMENTARIOS</t>
  </si>
  <si>
    <t>NÚMERO DE IMPERFECCIONES</t>
  </si>
  <si>
    <t>Promedio
diario</t>
  </si>
  <si>
    <t>Promedio de
todos los medios</t>
  </si>
  <si>
    <t>FECHA</t>
  </si>
  <si>
    <t>Ejemplo 
uno</t>
  </si>
  <si>
    <t>Ejemplo 
dos</t>
  </si>
  <si>
    <t>Ejemplo 
tres</t>
  </si>
  <si>
    <t>Ejemplo 
cuatro</t>
  </si>
  <si>
    <t>Ejemplo 
cinco</t>
  </si>
  <si>
    <t>PROMEDIO</t>
  </si>
  <si>
    <t>MUESTRA MEDIA</t>
  </si>
  <si>
    <t>DESVIACIÓN ESTÁNDAR</t>
  </si>
  <si>
    <t>DESVIACIÓN ESTÁNDAR DE MUESTRA</t>
  </si>
  <si>
    <t>LÍMITE DE CONTROL INFERIOR</t>
  </si>
  <si>
    <t>LÍMITE DE CONTROL SUPERIOR</t>
  </si>
  <si>
    <t>CONTROL DE CALIDAD DE LA FABRICACIÓN</t>
  </si>
  <si>
    <t>Planta 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</si>
</sst>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m/dd/yy;@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 tint="0.34998626667073579"/>
      <name val="Century Gothic"/>
      <family val="1"/>
    </font>
    <font>
      <sz val="10"/>
      <color theme="1"/>
      <name val="Century Gothic"/>
      <family val="1"/>
    </font>
    <font>
      <sz val="24"/>
      <color theme="1"/>
      <name val="Century Gothic"/>
      <family val="1"/>
    </font>
    <font>
      <sz val="10"/>
      <color rgb="FF000000"/>
      <name val="Arial"/>
      <family val="2"/>
    </font>
    <font>
      <sz val="10"/>
      <color rgb="FF000000"/>
      <name val="Century Gothic"/>
      <family val="1"/>
    </font>
    <font>
      <sz val="10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color theme="1" tint="0.34998626667073579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20"/>
      <color rgb="FF000000"/>
      <name val="Aptos Display"/>
      <family val="2"/>
      <scheme val="major"/>
    </font>
    <font>
      <sz val="20"/>
      <name val="Aptos Display"/>
      <family val="2"/>
      <scheme val="major"/>
    </font>
    <font>
      <sz val="9"/>
      <color theme="1" tint="0.34998626667073579"/>
      <name val="Aptos Display"/>
      <family val="2"/>
      <scheme val="major"/>
    </font>
    <font>
      <b/>
      <sz val="10"/>
      <color rgb="FF000000"/>
      <name val="Aptos Display"/>
      <family val="2"/>
      <scheme val="maj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B0C6E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8176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DAE9F9"/>
        <bgColor rgb="FFFFFFCC"/>
      </patternFill>
    </fill>
    <fill>
      <patternFill patternType="solid">
        <fgColor theme="7" tint="0.79998168889431442"/>
        <bgColor rgb="FFFFFFCC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2"/>
        <bgColor rgb="FFFFFFCC"/>
      </patternFill>
    </fill>
    <fill>
      <patternFill patternType="solid">
        <fgColor theme="9" tint="0.79998168889431442"/>
        <bgColor rgb="FFFFFFCC"/>
      </patternFill>
    </fill>
    <fill>
      <patternFill patternType="solid">
        <fgColor rgb="FFFFD4BE"/>
        <bgColor rgb="FFFFFFCC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46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9" fontId="4" fillId="0" borderId="3" xfId="1" applyFont="1" applyFill="1" applyBorder="1" applyAlignment="1">
      <alignment horizontal="center" vertical="center" wrapText="1"/>
    </xf>
    <xf numFmtId="9" fontId="4" fillId="0" borderId="4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165" fontId="6" fillId="12" borderId="6" xfId="2" applyNumberFormat="1" applyFont="1" applyFill="1" applyBorder="1" applyAlignment="1">
      <alignment horizontal="center" vertical="center"/>
    </xf>
    <xf numFmtId="1" fontId="6" fillId="0" borderId="6" xfId="2" applyNumberFormat="1" applyFont="1" applyBorder="1" applyAlignment="1">
      <alignment horizontal="center" vertical="center"/>
    </xf>
    <xf numFmtId="1" fontId="6" fillId="0" borderId="7" xfId="2" applyNumberFormat="1" applyFont="1" applyBorder="1" applyAlignment="1">
      <alignment horizontal="center" vertical="center"/>
    </xf>
    <xf numFmtId="166" fontId="3" fillId="13" borderId="8" xfId="2" applyNumberFormat="1" applyFont="1" applyFill="1" applyBorder="1" applyAlignment="1">
      <alignment horizontal="center" vertical="center"/>
    </xf>
    <xf numFmtId="2" fontId="3" fillId="14" borderId="6" xfId="2" applyNumberFormat="1" applyFont="1" applyFill="1" applyBorder="1" applyAlignment="1">
      <alignment horizontal="center" vertical="center"/>
    </xf>
    <xf numFmtId="2" fontId="6" fillId="15" borderId="6" xfId="2" applyNumberFormat="1" applyFont="1" applyFill="1" applyBorder="1" applyAlignment="1">
      <alignment horizontal="center" vertical="center"/>
    </xf>
    <xf numFmtId="2" fontId="6" fillId="16" borderId="6" xfId="2" applyNumberFormat="1" applyFont="1" applyFill="1" applyBorder="1" applyAlignment="1">
      <alignment horizontal="center" vertical="center"/>
    </xf>
    <xf numFmtId="2" fontId="3" fillId="17" borderId="6" xfId="2" applyNumberFormat="1" applyFont="1" applyFill="1" applyBorder="1" applyAlignment="1">
      <alignment horizontal="center" vertical="center"/>
    </xf>
    <xf numFmtId="2" fontId="3" fillId="18" borderId="6" xfId="2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left" vertical="center" wrapText="1" inden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wrapText="1"/>
    </xf>
    <xf numFmtId="0" fontId="9" fillId="0" borderId="1" xfId="0" applyFont="1" applyBorder="1" applyAlignment="1">
      <alignment horizontal="center" vertical="top"/>
    </xf>
    <xf numFmtId="0" fontId="7" fillId="0" borderId="0" xfId="0" applyFont="1" applyAlignment="1">
      <alignment wrapText="1"/>
    </xf>
    <xf numFmtId="0" fontId="9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10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4" borderId="6" xfId="2" applyFont="1" applyFill="1" applyBorder="1" applyAlignment="1">
      <alignment horizontal="center" vertical="center" wrapText="1"/>
    </xf>
    <xf numFmtId="0" fontId="10" fillId="5" borderId="6" xfId="2" applyFont="1" applyFill="1" applyBorder="1" applyAlignment="1">
      <alignment horizontal="center" vertical="center" wrapText="1"/>
    </xf>
    <xf numFmtId="0" fontId="10" fillId="5" borderId="7" xfId="2" applyFont="1" applyFill="1" applyBorder="1" applyAlignment="1">
      <alignment horizontal="center" vertical="center" wrapText="1"/>
    </xf>
    <xf numFmtId="0" fontId="7" fillId="6" borderId="8" xfId="2" applyFont="1" applyFill="1" applyBorder="1" applyAlignment="1">
      <alignment horizontal="center" vertical="center" wrapText="1"/>
    </xf>
    <xf numFmtId="0" fontId="7" fillId="7" borderId="6" xfId="2" applyFont="1" applyFill="1" applyBorder="1" applyAlignment="1">
      <alignment horizontal="center" vertical="center" wrapText="1"/>
    </xf>
    <xf numFmtId="0" fontId="10" fillId="8" borderId="6" xfId="2" applyFont="1" applyFill="1" applyBorder="1" applyAlignment="1">
      <alignment horizontal="center" vertical="center" wrapText="1"/>
    </xf>
    <xf numFmtId="0" fontId="10" fillId="9" borderId="6" xfId="2" applyFont="1" applyFill="1" applyBorder="1" applyAlignment="1">
      <alignment horizontal="center" vertical="center" wrapText="1"/>
    </xf>
    <xf numFmtId="0" fontId="7" fillId="10" borderId="6" xfId="2" applyFont="1" applyFill="1" applyBorder="1" applyAlignment="1">
      <alignment horizontal="center" vertical="center" wrapText="1"/>
    </xf>
    <xf numFmtId="0" fontId="7" fillId="11" borderId="6" xfId="2" applyFont="1" applyFill="1" applyBorder="1" applyAlignment="1">
      <alignment horizontal="center" vertical="center" wrapText="1"/>
    </xf>
  </cellXfs>
  <cellStyles count="3">
    <cellStyle name="Normal" xfId="0" builtinId="0"/>
    <cellStyle name="Normal 3" xfId="2" xr:uid="{94ABE7D5-2926-4702-94E9-235A6FA03476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3"/>
          <c:order val="0"/>
          <c:tx>
            <c:strRef>
              <c:f>'[1]EJEMPLO - Diagrama de control d'!$M$12</c:f>
              <c:strCache>
                <c:ptCount val="1"/>
                <c:pt idx="0">
                  <c:v>LÍMITE DE CONTROL SUPERIOR</c:v>
                </c:pt>
              </c:strCache>
            </c:strRef>
          </c:tx>
          <c:spPr>
            <a:ln w="50800" cmpd="sng">
              <a:solidFill>
                <a:srgbClr val="FF8176"/>
              </a:solidFill>
            </a:ln>
          </c:spPr>
          <c:marker>
            <c:symbol val="none"/>
          </c:marker>
          <c:cat>
            <c:numRef>
              <c:f>'[1]EJEMPLO - Diagrama de control d'!$B$13:$B$43</c:f>
              <c:numCache>
                <c:formatCode>General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'[1]EJEMPLO - Diagrama de control d'!$M$13:$M$43</c:f>
              <c:numCache>
                <c:formatCode>General</c:formatCode>
                <c:ptCount val="31"/>
                <c:pt idx="0">
                  <c:v>12.353228454968718</c:v>
                </c:pt>
                <c:pt idx="1">
                  <c:v>12.353228454968718</c:v>
                </c:pt>
                <c:pt idx="2">
                  <c:v>12.353228454968718</c:v>
                </c:pt>
                <c:pt idx="3">
                  <c:v>12.353228454968718</c:v>
                </c:pt>
                <c:pt idx="4">
                  <c:v>12.353228454968718</c:v>
                </c:pt>
                <c:pt idx="5">
                  <c:v>12.353228454968718</c:v>
                </c:pt>
                <c:pt idx="6">
                  <c:v>12.353228454968718</c:v>
                </c:pt>
                <c:pt idx="7">
                  <c:v>12.353228454968718</c:v>
                </c:pt>
                <c:pt idx="8">
                  <c:v>12.353228454968718</c:v>
                </c:pt>
                <c:pt idx="9">
                  <c:v>12.353228454968718</c:v>
                </c:pt>
                <c:pt idx="10">
                  <c:v>12.353228454968718</c:v>
                </c:pt>
                <c:pt idx="11">
                  <c:v>12.353228454968718</c:v>
                </c:pt>
                <c:pt idx="12">
                  <c:v>12.353228454968718</c:v>
                </c:pt>
                <c:pt idx="13">
                  <c:v>12.353228454968718</c:v>
                </c:pt>
                <c:pt idx="14">
                  <c:v>12.353228454968718</c:v>
                </c:pt>
                <c:pt idx="15">
                  <c:v>12.353228454968718</c:v>
                </c:pt>
                <c:pt idx="16">
                  <c:v>12.353228454968718</c:v>
                </c:pt>
                <c:pt idx="17">
                  <c:v>12.353228454968718</c:v>
                </c:pt>
                <c:pt idx="18">
                  <c:v>12.353228454968718</c:v>
                </c:pt>
                <c:pt idx="19">
                  <c:v>12.353228454968718</c:v>
                </c:pt>
                <c:pt idx="20">
                  <c:v>12.353228454968718</c:v>
                </c:pt>
                <c:pt idx="21">
                  <c:v>12.353228454968718</c:v>
                </c:pt>
                <c:pt idx="22">
                  <c:v>12.353228454968718</c:v>
                </c:pt>
                <c:pt idx="23">
                  <c:v>12.353228454968718</c:v>
                </c:pt>
                <c:pt idx="24">
                  <c:v>12.353228454968718</c:v>
                </c:pt>
                <c:pt idx="25">
                  <c:v>12.353228454968718</c:v>
                </c:pt>
                <c:pt idx="26">
                  <c:v>12.353228454968718</c:v>
                </c:pt>
                <c:pt idx="27">
                  <c:v>12.353228454968718</c:v>
                </c:pt>
                <c:pt idx="28">
                  <c:v>12.353228454968718</c:v>
                </c:pt>
                <c:pt idx="29">
                  <c:v>12.353228454968718</c:v>
                </c:pt>
                <c:pt idx="30">
                  <c:v>12.353228454968718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A-497A-AB2A-B9804DFF4386}"/>
            </c:ext>
          </c:extLst>
        </c:ser>
        <c:ser>
          <c:idx val="1"/>
          <c:order val="1"/>
          <c:tx>
            <c:strRef>
              <c:f>'[1]EJEMPLO - Diagrama de control d'!$I$12</c:f>
              <c:strCache>
                <c:ptCount val="1"/>
                <c:pt idx="0">
                  <c:v>MUESTRA MEDIA</c:v>
                </c:pt>
              </c:strCache>
            </c:strRef>
          </c:tx>
          <c:spPr>
            <a:ln w="50800" cmpd="sng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'[1]EJEMPLO - Diagrama de control d'!$B$13:$B$43</c:f>
              <c:numCache>
                <c:formatCode>General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'[1]EJEMPLO - Diagrama de control d'!$I$13:$I$43</c:f>
              <c:numCache>
                <c:formatCode>General</c:formatCode>
                <c:ptCount val="31"/>
                <c:pt idx="0">
                  <c:v>7.032258064516129</c:v>
                </c:pt>
                <c:pt idx="1">
                  <c:v>7.032258064516129</c:v>
                </c:pt>
                <c:pt idx="2">
                  <c:v>7.032258064516129</c:v>
                </c:pt>
                <c:pt idx="3">
                  <c:v>7.032258064516129</c:v>
                </c:pt>
                <c:pt idx="4">
                  <c:v>7.032258064516129</c:v>
                </c:pt>
                <c:pt idx="5">
                  <c:v>7.032258064516129</c:v>
                </c:pt>
                <c:pt idx="6">
                  <c:v>7.032258064516129</c:v>
                </c:pt>
                <c:pt idx="7">
                  <c:v>7.032258064516129</c:v>
                </c:pt>
                <c:pt idx="8">
                  <c:v>7.032258064516129</c:v>
                </c:pt>
                <c:pt idx="9">
                  <c:v>7.032258064516129</c:v>
                </c:pt>
                <c:pt idx="10">
                  <c:v>7.032258064516129</c:v>
                </c:pt>
                <c:pt idx="11">
                  <c:v>7.032258064516129</c:v>
                </c:pt>
                <c:pt idx="12">
                  <c:v>7.032258064516129</c:v>
                </c:pt>
                <c:pt idx="13">
                  <c:v>7.032258064516129</c:v>
                </c:pt>
                <c:pt idx="14">
                  <c:v>7.032258064516129</c:v>
                </c:pt>
                <c:pt idx="15">
                  <c:v>7.032258064516129</c:v>
                </c:pt>
                <c:pt idx="16">
                  <c:v>7.032258064516129</c:v>
                </c:pt>
                <c:pt idx="17">
                  <c:v>7.032258064516129</c:v>
                </c:pt>
                <c:pt idx="18">
                  <c:v>7.032258064516129</c:v>
                </c:pt>
                <c:pt idx="19">
                  <c:v>7.032258064516129</c:v>
                </c:pt>
                <c:pt idx="20">
                  <c:v>7.032258064516129</c:v>
                </c:pt>
                <c:pt idx="21">
                  <c:v>7.032258064516129</c:v>
                </c:pt>
                <c:pt idx="22">
                  <c:v>7.032258064516129</c:v>
                </c:pt>
                <c:pt idx="23">
                  <c:v>7.032258064516129</c:v>
                </c:pt>
                <c:pt idx="24">
                  <c:v>7.032258064516129</c:v>
                </c:pt>
                <c:pt idx="25">
                  <c:v>7.032258064516129</c:v>
                </c:pt>
                <c:pt idx="26">
                  <c:v>7.032258064516129</c:v>
                </c:pt>
                <c:pt idx="27">
                  <c:v>7.032258064516129</c:v>
                </c:pt>
                <c:pt idx="28">
                  <c:v>7.032258064516129</c:v>
                </c:pt>
                <c:pt idx="29">
                  <c:v>7.032258064516129</c:v>
                </c:pt>
                <c:pt idx="30">
                  <c:v>7.032258064516129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4A-497A-AB2A-B9804DFF4386}"/>
            </c:ext>
          </c:extLst>
        </c:ser>
        <c:ser>
          <c:idx val="2"/>
          <c:order val="2"/>
          <c:tx>
            <c:strRef>
              <c:f>'[1]EJEMPLO - Diagrama de control d'!$L$12</c:f>
              <c:strCache>
                <c:ptCount val="1"/>
                <c:pt idx="0">
                  <c:v>LÍMITE DE CONTROL INFERIOR</c:v>
                </c:pt>
              </c:strCache>
            </c:strRef>
          </c:tx>
          <c:spPr>
            <a:ln w="50800" cmpd="sng">
              <a:solidFill>
                <a:srgbClr val="00BD32"/>
              </a:solidFill>
            </a:ln>
          </c:spPr>
          <c:marker>
            <c:symbol val="none"/>
          </c:marker>
          <c:cat>
            <c:numRef>
              <c:f>'[1]EJEMPLO - Diagrama de control d'!$B$13:$B$43</c:f>
              <c:numCache>
                <c:formatCode>General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'[1]EJEMPLO - Diagrama de control d'!$L$13:$L$43</c:f>
              <c:numCache>
                <c:formatCode>General</c:formatCode>
                <c:ptCount val="31"/>
                <c:pt idx="0">
                  <c:v>1.7112876740635405</c:v>
                </c:pt>
                <c:pt idx="1">
                  <c:v>1.7112876740635405</c:v>
                </c:pt>
                <c:pt idx="2">
                  <c:v>1.7112876740635405</c:v>
                </c:pt>
                <c:pt idx="3">
                  <c:v>1.7112876740635405</c:v>
                </c:pt>
                <c:pt idx="4">
                  <c:v>1.7112876740635405</c:v>
                </c:pt>
                <c:pt idx="5">
                  <c:v>1.7112876740635405</c:v>
                </c:pt>
                <c:pt idx="6">
                  <c:v>1.7112876740635405</c:v>
                </c:pt>
                <c:pt idx="7">
                  <c:v>1.7112876740635405</c:v>
                </c:pt>
                <c:pt idx="8">
                  <c:v>1.7112876740635405</c:v>
                </c:pt>
                <c:pt idx="9">
                  <c:v>1.7112876740635405</c:v>
                </c:pt>
                <c:pt idx="10">
                  <c:v>1.7112876740635405</c:v>
                </c:pt>
                <c:pt idx="11">
                  <c:v>1.7112876740635405</c:v>
                </c:pt>
                <c:pt idx="12">
                  <c:v>1.7112876740635405</c:v>
                </c:pt>
                <c:pt idx="13">
                  <c:v>1.7112876740635405</c:v>
                </c:pt>
                <c:pt idx="14">
                  <c:v>1.7112876740635405</c:v>
                </c:pt>
                <c:pt idx="15">
                  <c:v>1.7112876740635405</c:v>
                </c:pt>
                <c:pt idx="16">
                  <c:v>1.7112876740635405</c:v>
                </c:pt>
                <c:pt idx="17">
                  <c:v>1.7112876740635405</c:v>
                </c:pt>
                <c:pt idx="18">
                  <c:v>1.7112876740635405</c:v>
                </c:pt>
                <c:pt idx="19">
                  <c:v>1.7112876740635405</c:v>
                </c:pt>
                <c:pt idx="20">
                  <c:v>1.7112876740635405</c:v>
                </c:pt>
                <c:pt idx="21">
                  <c:v>1.7112876740635405</c:v>
                </c:pt>
                <c:pt idx="22">
                  <c:v>1.7112876740635405</c:v>
                </c:pt>
                <c:pt idx="23">
                  <c:v>1.7112876740635405</c:v>
                </c:pt>
                <c:pt idx="24">
                  <c:v>1.7112876740635405</c:v>
                </c:pt>
                <c:pt idx="25">
                  <c:v>1.7112876740635405</c:v>
                </c:pt>
                <c:pt idx="26">
                  <c:v>1.7112876740635405</c:v>
                </c:pt>
                <c:pt idx="27">
                  <c:v>1.7112876740635405</c:v>
                </c:pt>
                <c:pt idx="28">
                  <c:v>1.7112876740635405</c:v>
                </c:pt>
                <c:pt idx="29">
                  <c:v>1.7112876740635405</c:v>
                </c:pt>
                <c:pt idx="30">
                  <c:v>1.7112876740635405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4A-497A-AB2A-B9804DFF4386}"/>
            </c:ext>
          </c:extLst>
        </c:ser>
        <c:ser>
          <c:idx val="0"/>
          <c:order val="3"/>
          <c:tx>
            <c:v>IMPERFECCIONES DIARIAS PROMEDIO</c:v>
          </c:tx>
          <c:spPr>
            <a:ln w="50800" cmpd="sng">
              <a:solidFill>
                <a:srgbClr val="B0C6E9"/>
              </a:solidFill>
            </a:ln>
          </c:spPr>
          <c:marker>
            <c:symbol val="circle"/>
            <c:size val="10"/>
            <c:spPr>
              <a:solidFill>
                <a:srgbClr val="5194DD"/>
              </a:solidFill>
              <a:ln cmpd="sng">
                <a:noFill/>
              </a:ln>
            </c:spPr>
          </c:marker>
          <c:cat>
            <c:numRef>
              <c:f>'[1]EJEMPLO - Diagrama de control d'!$B$13:$B$43</c:f>
              <c:numCache>
                <c:formatCode>General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'[1]EJEMPLO - Diagrama de control d'!$H$13:$H$43</c:f>
              <c:numCache>
                <c:formatCode>General</c:formatCode>
                <c:ptCount val="31"/>
                <c:pt idx="0">
                  <c:v>3.4</c:v>
                </c:pt>
                <c:pt idx="1">
                  <c:v>5.8</c:v>
                </c:pt>
                <c:pt idx="2">
                  <c:v>7.8</c:v>
                </c:pt>
                <c:pt idx="3">
                  <c:v>5.8</c:v>
                </c:pt>
                <c:pt idx="4">
                  <c:v>7</c:v>
                </c:pt>
                <c:pt idx="5">
                  <c:v>6.8</c:v>
                </c:pt>
                <c:pt idx="6">
                  <c:v>7.2</c:v>
                </c:pt>
                <c:pt idx="7">
                  <c:v>7</c:v>
                </c:pt>
                <c:pt idx="8">
                  <c:v>5.8</c:v>
                </c:pt>
                <c:pt idx="9">
                  <c:v>10</c:v>
                </c:pt>
                <c:pt idx="10">
                  <c:v>10.199999999999999</c:v>
                </c:pt>
                <c:pt idx="11">
                  <c:v>4.4000000000000004</c:v>
                </c:pt>
                <c:pt idx="12">
                  <c:v>6.6</c:v>
                </c:pt>
                <c:pt idx="13">
                  <c:v>8.1999999999999993</c:v>
                </c:pt>
                <c:pt idx="14">
                  <c:v>7.8</c:v>
                </c:pt>
                <c:pt idx="15">
                  <c:v>10.199999999999999</c:v>
                </c:pt>
                <c:pt idx="16">
                  <c:v>8</c:v>
                </c:pt>
                <c:pt idx="17">
                  <c:v>6.8</c:v>
                </c:pt>
                <c:pt idx="18">
                  <c:v>7.6</c:v>
                </c:pt>
                <c:pt idx="19">
                  <c:v>4.4000000000000004</c:v>
                </c:pt>
                <c:pt idx="20">
                  <c:v>9.6</c:v>
                </c:pt>
                <c:pt idx="21">
                  <c:v>6.4</c:v>
                </c:pt>
                <c:pt idx="22">
                  <c:v>8.6</c:v>
                </c:pt>
                <c:pt idx="23">
                  <c:v>5.2</c:v>
                </c:pt>
                <c:pt idx="24">
                  <c:v>3.8</c:v>
                </c:pt>
                <c:pt idx="25">
                  <c:v>6.8</c:v>
                </c:pt>
                <c:pt idx="26">
                  <c:v>5.6</c:v>
                </c:pt>
                <c:pt idx="27">
                  <c:v>8.8000000000000007</c:v>
                </c:pt>
                <c:pt idx="28">
                  <c:v>8.6</c:v>
                </c:pt>
                <c:pt idx="29">
                  <c:v>9.1999999999999993</c:v>
                </c:pt>
                <c:pt idx="30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A-497A-AB2A-B9804DFF4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4825479"/>
        <c:axId val="1664720785"/>
      </c:lineChart>
      <c:catAx>
        <c:axId val="1414825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in"/>
        <c:minorTickMark val="out"/>
        <c:tickLblPos val="nextTo"/>
        <c:spPr>
          <a:ln>
            <a:noFill/>
          </a:ln>
        </c:spPr>
        <c:crossAx val="1664720785"/>
        <c:crosses val="autoZero"/>
        <c:auto val="1"/>
        <c:lblAlgn val="ctr"/>
        <c:lblOffset val="100"/>
        <c:noMultiLvlLbl val="0"/>
      </c:catAx>
      <c:valAx>
        <c:axId val="1664720785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414825479"/>
        <c:crosses val="autoZero"/>
        <c:crossBetween val="between"/>
      </c:valAx>
      <c:spPr>
        <a:solidFill>
          <a:srgbClr val="F5F5F5"/>
        </a:solidFill>
      </c:spPr>
    </c:plotArea>
    <c:legend>
      <c:legendPos val="b"/>
      <c:overlay val="0"/>
      <c:spPr>
        <a:noFill/>
        <a:ln>
          <a:noFill/>
        </a:ln>
      </c:spPr>
      <c:txPr>
        <a:bodyPr anchor="ctr" anchorCtr="1"/>
        <a:lstStyle/>
        <a:p>
          <a:pPr>
            <a:defRPr sz="1100"/>
          </a:pPr>
          <a:endParaRPr lang="es-PY"/>
        </a:p>
      </c:txPr>
    </c:legend>
    <c:plotVisOnly val="1"/>
    <c:dispBlanksAs val="zero"/>
    <c:showDLblsOverMax val="1"/>
  </c:chart>
  <c:spPr>
    <a:noFill/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s-PY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44</xdr:row>
      <xdr:rowOff>114300</xdr:rowOff>
    </xdr:from>
    <xdr:to>
      <xdr:col>11</xdr:col>
      <xdr:colOff>708660</xdr:colOff>
      <xdr:row>91</xdr:row>
      <xdr:rowOff>129540</xdr:rowOff>
    </xdr:to>
    <xdr:graphicFrame macro="">
      <xdr:nvGraphicFramePr>
        <xdr:cNvPr id="2" name="Chart 3" descr="Chart 0">
          <a:extLst>
            <a:ext uri="{FF2B5EF4-FFF2-40B4-BE49-F238E27FC236}">
              <a16:creationId xmlns:a16="http://schemas.microsoft.com/office/drawing/2014/main" id="{8088F31D-A007-4669-8638-60FDE4109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IC-Manufacturing-Quality-Control-11221_ES.xlsx" TargetMode="External"/><Relationship Id="rId1" Type="http://schemas.openxmlformats.org/officeDocument/2006/relationships/externalLinkPath" Target="/Users/ASUS/Downloads/IC-Manufacturing-Quality-Control-11221_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JEMPLO - Diagrama de control d"/>
      <sheetName val="EN BLANCO - Diagrama de control"/>
      <sheetName val="- Descargo de responsabilidad -"/>
    </sheetNames>
    <sheetDataSet>
      <sheetData sheetId="0">
        <row r="12">
          <cell r="I12" t="str">
            <v>MUESTRA MEDIA</v>
          </cell>
          <cell r="L12" t="str">
            <v>LÍMITE DE CONTROL INFERIOR</v>
          </cell>
          <cell r="M12" t="str">
            <v>LÍMITE DE CONTROL SUPERIOR</v>
          </cell>
        </row>
        <row r="13">
          <cell r="B13">
            <v>45658</v>
          </cell>
          <cell r="H13">
            <v>3.4</v>
          </cell>
          <cell r="I13">
            <v>7.032258064516129</v>
          </cell>
          <cell r="L13">
            <v>1.7112876740635405</v>
          </cell>
          <cell r="M13">
            <v>12.353228454968718</v>
          </cell>
        </row>
        <row r="14">
          <cell r="B14">
            <v>45659</v>
          </cell>
          <cell r="H14">
            <v>5.8</v>
          </cell>
          <cell r="I14">
            <v>7.032258064516129</v>
          </cell>
          <cell r="L14">
            <v>1.7112876740635405</v>
          </cell>
          <cell r="M14">
            <v>12.353228454968718</v>
          </cell>
        </row>
        <row r="15">
          <cell r="B15">
            <v>45660</v>
          </cell>
          <cell r="H15">
            <v>7.8</v>
          </cell>
          <cell r="I15">
            <v>7.032258064516129</v>
          </cell>
          <cell r="L15">
            <v>1.7112876740635405</v>
          </cell>
          <cell r="M15">
            <v>12.353228454968718</v>
          </cell>
        </row>
        <row r="16">
          <cell r="B16">
            <v>45661</v>
          </cell>
          <cell r="H16">
            <v>5.8</v>
          </cell>
          <cell r="I16">
            <v>7.032258064516129</v>
          </cell>
          <cell r="L16">
            <v>1.7112876740635405</v>
          </cell>
          <cell r="M16">
            <v>12.353228454968718</v>
          </cell>
        </row>
        <row r="17">
          <cell r="B17">
            <v>45662</v>
          </cell>
          <cell r="H17">
            <v>7</v>
          </cell>
          <cell r="I17">
            <v>7.032258064516129</v>
          </cell>
          <cell r="L17">
            <v>1.7112876740635405</v>
          </cell>
          <cell r="M17">
            <v>12.353228454968718</v>
          </cell>
        </row>
        <row r="18">
          <cell r="B18">
            <v>45663</v>
          </cell>
          <cell r="H18">
            <v>6.8</v>
          </cell>
          <cell r="I18">
            <v>7.032258064516129</v>
          </cell>
          <cell r="L18">
            <v>1.7112876740635405</v>
          </cell>
          <cell r="M18">
            <v>12.353228454968718</v>
          </cell>
        </row>
        <row r="19">
          <cell r="B19">
            <v>45664</v>
          </cell>
          <cell r="H19">
            <v>7.2</v>
          </cell>
          <cell r="I19">
            <v>7.032258064516129</v>
          </cell>
          <cell r="L19">
            <v>1.7112876740635405</v>
          </cell>
          <cell r="M19">
            <v>12.353228454968718</v>
          </cell>
        </row>
        <row r="20">
          <cell r="B20">
            <v>45665</v>
          </cell>
          <cell r="H20">
            <v>7</v>
          </cell>
          <cell r="I20">
            <v>7.032258064516129</v>
          </cell>
          <cell r="L20">
            <v>1.7112876740635405</v>
          </cell>
          <cell r="M20">
            <v>12.353228454968718</v>
          </cell>
        </row>
        <row r="21">
          <cell r="B21">
            <v>45666</v>
          </cell>
          <cell r="H21">
            <v>5.8</v>
          </cell>
          <cell r="I21">
            <v>7.032258064516129</v>
          </cell>
          <cell r="L21">
            <v>1.7112876740635405</v>
          </cell>
          <cell r="M21">
            <v>12.353228454968718</v>
          </cell>
        </row>
        <row r="22">
          <cell r="B22">
            <v>45667</v>
          </cell>
          <cell r="H22">
            <v>10</v>
          </cell>
          <cell r="I22">
            <v>7.032258064516129</v>
          </cell>
          <cell r="L22">
            <v>1.7112876740635405</v>
          </cell>
          <cell r="M22">
            <v>12.353228454968718</v>
          </cell>
        </row>
        <row r="23">
          <cell r="B23">
            <v>45668</v>
          </cell>
          <cell r="H23">
            <v>10.199999999999999</v>
          </cell>
          <cell r="I23">
            <v>7.032258064516129</v>
          </cell>
          <cell r="L23">
            <v>1.7112876740635405</v>
          </cell>
          <cell r="M23">
            <v>12.353228454968718</v>
          </cell>
        </row>
        <row r="24">
          <cell r="B24">
            <v>45669</v>
          </cell>
          <cell r="H24">
            <v>4.4000000000000004</v>
          </cell>
          <cell r="I24">
            <v>7.032258064516129</v>
          </cell>
          <cell r="L24">
            <v>1.7112876740635405</v>
          </cell>
          <cell r="M24">
            <v>12.353228454968718</v>
          </cell>
        </row>
        <row r="25">
          <cell r="B25">
            <v>45670</v>
          </cell>
          <cell r="H25">
            <v>6.6</v>
          </cell>
          <cell r="I25">
            <v>7.032258064516129</v>
          </cell>
          <cell r="L25">
            <v>1.7112876740635405</v>
          </cell>
          <cell r="M25">
            <v>12.353228454968718</v>
          </cell>
        </row>
        <row r="26">
          <cell r="B26">
            <v>45671</v>
          </cell>
          <cell r="H26">
            <v>8.1999999999999993</v>
          </cell>
          <cell r="I26">
            <v>7.032258064516129</v>
          </cell>
          <cell r="L26">
            <v>1.7112876740635405</v>
          </cell>
          <cell r="M26">
            <v>12.353228454968718</v>
          </cell>
        </row>
        <row r="27">
          <cell r="B27">
            <v>45672</v>
          </cell>
          <cell r="H27">
            <v>7.8</v>
          </cell>
          <cell r="I27">
            <v>7.032258064516129</v>
          </cell>
          <cell r="L27">
            <v>1.7112876740635405</v>
          </cell>
          <cell r="M27">
            <v>12.353228454968718</v>
          </cell>
        </row>
        <row r="28">
          <cell r="B28">
            <v>45673</v>
          </cell>
          <cell r="H28">
            <v>10.199999999999999</v>
          </cell>
          <cell r="I28">
            <v>7.032258064516129</v>
          </cell>
          <cell r="L28">
            <v>1.7112876740635405</v>
          </cell>
          <cell r="M28">
            <v>12.353228454968718</v>
          </cell>
        </row>
        <row r="29">
          <cell r="B29">
            <v>45674</v>
          </cell>
          <cell r="H29">
            <v>8</v>
          </cell>
          <cell r="I29">
            <v>7.032258064516129</v>
          </cell>
          <cell r="L29">
            <v>1.7112876740635405</v>
          </cell>
          <cell r="M29">
            <v>12.353228454968718</v>
          </cell>
        </row>
        <row r="30">
          <cell r="B30">
            <v>45675</v>
          </cell>
          <cell r="H30">
            <v>6.8</v>
          </cell>
          <cell r="I30">
            <v>7.032258064516129</v>
          </cell>
          <cell r="L30">
            <v>1.7112876740635405</v>
          </cell>
          <cell r="M30">
            <v>12.353228454968718</v>
          </cell>
        </row>
        <row r="31">
          <cell r="B31">
            <v>45676</v>
          </cell>
          <cell r="H31">
            <v>7.6</v>
          </cell>
          <cell r="I31">
            <v>7.032258064516129</v>
          </cell>
          <cell r="L31">
            <v>1.7112876740635405</v>
          </cell>
          <cell r="M31">
            <v>12.353228454968718</v>
          </cell>
        </row>
        <row r="32">
          <cell r="B32">
            <v>45677</v>
          </cell>
          <cell r="H32">
            <v>4.4000000000000004</v>
          </cell>
          <cell r="I32">
            <v>7.032258064516129</v>
          </cell>
          <cell r="L32">
            <v>1.7112876740635405</v>
          </cell>
          <cell r="M32">
            <v>12.353228454968718</v>
          </cell>
        </row>
        <row r="33">
          <cell r="B33">
            <v>45678</v>
          </cell>
          <cell r="H33">
            <v>9.6</v>
          </cell>
          <cell r="I33">
            <v>7.032258064516129</v>
          </cell>
          <cell r="L33">
            <v>1.7112876740635405</v>
          </cell>
          <cell r="M33">
            <v>12.353228454968718</v>
          </cell>
        </row>
        <row r="34">
          <cell r="B34">
            <v>45679</v>
          </cell>
          <cell r="H34">
            <v>6.4</v>
          </cell>
          <cell r="I34">
            <v>7.032258064516129</v>
          </cell>
          <cell r="L34">
            <v>1.7112876740635405</v>
          </cell>
          <cell r="M34">
            <v>12.353228454968718</v>
          </cell>
        </row>
        <row r="35">
          <cell r="B35">
            <v>45680</v>
          </cell>
          <cell r="H35">
            <v>8.6</v>
          </cell>
          <cell r="I35">
            <v>7.032258064516129</v>
          </cell>
          <cell r="L35">
            <v>1.7112876740635405</v>
          </cell>
          <cell r="M35">
            <v>12.353228454968718</v>
          </cell>
        </row>
        <row r="36">
          <cell r="B36">
            <v>45681</v>
          </cell>
          <cell r="H36">
            <v>5.2</v>
          </cell>
          <cell r="I36">
            <v>7.032258064516129</v>
          </cell>
          <cell r="L36">
            <v>1.7112876740635405</v>
          </cell>
          <cell r="M36">
            <v>12.353228454968718</v>
          </cell>
        </row>
        <row r="37">
          <cell r="B37">
            <v>45682</v>
          </cell>
          <cell r="H37">
            <v>3.8</v>
          </cell>
          <cell r="I37">
            <v>7.032258064516129</v>
          </cell>
          <cell r="L37">
            <v>1.7112876740635405</v>
          </cell>
          <cell r="M37">
            <v>12.353228454968718</v>
          </cell>
        </row>
        <row r="38">
          <cell r="B38">
            <v>45683</v>
          </cell>
          <cell r="H38">
            <v>6.8</v>
          </cell>
          <cell r="I38">
            <v>7.032258064516129</v>
          </cell>
          <cell r="L38">
            <v>1.7112876740635405</v>
          </cell>
          <cell r="M38">
            <v>12.353228454968718</v>
          </cell>
        </row>
        <row r="39">
          <cell r="B39">
            <v>45684</v>
          </cell>
          <cell r="H39">
            <v>5.6</v>
          </cell>
          <cell r="I39">
            <v>7.032258064516129</v>
          </cell>
          <cell r="L39">
            <v>1.7112876740635405</v>
          </cell>
          <cell r="M39">
            <v>12.353228454968718</v>
          </cell>
        </row>
        <row r="40">
          <cell r="B40">
            <v>45685</v>
          </cell>
          <cell r="H40">
            <v>8.8000000000000007</v>
          </cell>
          <cell r="I40">
            <v>7.032258064516129</v>
          </cell>
          <cell r="L40">
            <v>1.7112876740635405</v>
          </cell>
          <cell r="M40">
            <v>12.353228454968718</v>
          </cell>
        </row>
        <row r="41">
          <cell r="B41">
            <v>45686</v>
          </cell>
          <cell r="H41">
            <v>8.6</v>
          </cell>
          <cell r="I41">
            <v>7.032258064516129</v>
          </cell>
          <cell r="L41">
            <v>1.7112876740635405</v>
          </cell>
          <cell r="M41">
            <v>12.353228454968718</v>
          </cell>
        </row>
        <row r="42">
          <cell r="B42">
            <v>45687</v>
          </cell>
          <cell r="H42">
            <v>9.1999999999999993</v>
          </cell>
          <cell r="I42">
            <v>7.032258064516129</v>
          </cell>
          <cell r="L42">
            <v>1.7112876740635405</v>
          </cell>
          <cell r="M42">
            <v>12.353228454968718</v>
          </cell>
        </row>
        <row r="43">
          <cell r="B43">
            <v>45688</v>
          </cell>
          <cell r="H43">
            <v>4.5999999999999996</v>
          </cell>
          <cell r="I43">
            <v>7.032258064516129</v>
          </cell>
          <cell r="L43">
            <v>1.7112876740635405</v>
          </cell>
          <cell r="M43">
            <v>12.353228454968718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69EB-C1AC-48C3-AA09-9E407DCF21E8}">
  <sheetPr codeName="Hoja1"/>
  <dimension ref="A1:L126"/>
  <sheetViews>
    <sheetView tabSelected="1" workbookViewId="0">
      <selection activeCell="D9" sqref="D9:L9"/>
    </sheetView>
  </sheetViews>
  <sheetFormatPr baseColWidth="10" defaultRowHeight="14.4" x14ac:dyDescent="0.3"/>
  <cols>
    <col min="6" max="6" width="23.5546875" customWidth="1"/>
  </cols>
  <sheetData>
    <row r="1" spans="1:12" ht="27.6" x14ac:dyDescent="0.3">
      <c r="A1" s="1" t="s">
        <v>32</v>
      </c>
      <c r="G1" s="1"/>
    </row>
    <row r="2" spans="1:12" x14ac:dyDescent="0.3">
      <c r="A2" s="19" t="s">
        <v>0</v>
      </c>
      <c r="B2" s="19"/>
      <c r="C2" s="19"/>
      <c r="D2" s="19"/>
      <c r="E2" s="20" t="s">
        <v>1</v>
      </c>
      <c r="F2" s="20"/>
      <c r="G2" s="21" t="s">
        <v>2</v>
      </c>
      <c r="H2" s="21"/>
      <c r="I2" s="21" t="s">
        <v>3</v>
      </c>
      <c r="J2" s="21"/>
      <c r="K2" s="21" t="s">
        <v>4</v>
      </c>
      <c r="L2" s="21"/>
    </row>
    <row r="3" spans="1:12" ht="16.2" thickBot="1" x14ac:dyDescent="0.35">
      <c r="A3" s="22" t="s">
        <v>33</v>
      </c>
      <c r="B3" s="22"/>
      <c r="C3" s="22"/>
      <c r="D3" s="22"/>
      <c r="E3" s="23" t="s">
        <v>5</v>
      </c>
      <c r="F3" s="24"/>
      <c r="G3" s="25">
        <v>45687</v>
      </c>
      <c r="H3" s="25"/>
      <c r="I3" s="25">
        <v>45688</v>
      </c>
      <c r="J3" s="25"/>
      <c r="K3" s="25">
        <v>45689</v>
      </c>
      <c r="L3" s="25"/>
    </row>
    <row r="4" spans="1:1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5.8" customHeight="1" x14ac:dyDescent="0.3">
      <c r="A5" s="19" t="s">
        <v>6</v>
      </c>
      <c r="B5" s="19"/>
      <c r="C5" s="19"/>
      <c r="D5" s="19"/>
      <c r="E5" s="26" t="s">
        <v>7</v>
      </c>
      <c r="F5" s="26"/>
      <c r="G5" s="19" t="s">
        <v>8</v>
      </c>
      <c r="H5" s="19"/>
      <c r="I5" s="19"/>
      <c r="J5" s="19"/>
      <c r="K5" s="20" t="s">
        <v>9</v>
      </c>
      <c r="L5" s="20"/>
    </row>
    <row r="6" spans="1:12" ht="16.2" thickBot="1" x14ac:dyDescent="0.35">
      <c r="A6" s="22" t="s">
        <v>10</v>
      </c>
      <c r="B6" s="22"/>
      <c r="C6" s="22"/>
      <c r="D6" s="22"/>
      <c r="E6" s="23" t="s">
        <v>11</v>
      </c>
      <c r="F6" s="24"/>
      <c r="G6" s="22" t="s">
        <v>12</v>
      </c>
      <c r="H6" s="22"/>
      <c r="I6" s="22"/>
      <c r="J6" s="22"/>
      <c r="K6" s="23" t="s">
        <v>13</v>
      </c>
      <c r="L6" s="24"/>
    </row>
    <row r="7" spans="1:12" x14ac:dyDescent="0.3">
      <c r="A7" s="27" t="s">
        <v>14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2" ht="15.6" x14ac:dyDescent="0.3">
      <c r="A8" s="29" t="s">
        <v>15</v>
      </c>
      <c r="B8" s="29"/>
      <c r="C8" s="30"/>
      <c r="D8" s="31" t="s">
        <v>16</v>
      </c>
      <c r="E8" s="32"/>
      <c r="F8" s="32"/>
      <c r="G8" s="32"/>
      <c r="H8" s="32"/>
      <c r="I8" s="32"/>
      <c r="J8" s="32"/>
      <c r="K8" s="32"/>
      <c r="L8" s="32"/>
    </row>
    <row r="9" spans="1:12" ht="31.2" thickBot="1" x14ac:dyDescent="0.35">
      <c r="A9" s="5">
        <v>0.95</v>
      </c>
      <c r="B9" s="6"/>
      <c r="C9" s="4"/>
      <c r="D9" s="7"/>
      <c r="E9" s="8"/>
      <c r="F9" s="8"/>
      <c r="G9" s="8"/>
      <c r="H9" s="8"/>
      <c r="I9" s="8"/>
      <c r="J9" s="8"/>
      <c r="K9" s="8"/>
      <c r="L9" s="9"/>
    </row>
    <row r="10" spans="1:12" x14ac:dyDescent="0.3">
      <c r="A10" s="27"/>
      <c r="B10" s="28"/>
      <c r="C10" s="28"/>
      <c r="D10" s="28"/>
      <c r="E10" s="28"/>
      <c r="F10" s="28"/>
      <c r="G10" s="28"/>
      <c r="H10" s="28"/>
      <c r="I10" s="3"/>
      <c r="J10" s="3"/>
      <c r="K10" s="3"/>
      <c r="L10" s="3"/>
    </row>
    <row r="11" spans="1:12" ht="36" x14ac:dyDescent="0.3">
      <c r="A11" s="33"/>
      <c r="B11" s="34" t="s">
        <v>17</v>
      </c>
      <c r="C11" s="35"/>
      <c r="D11" s="35"/>
      <c r="E11" s="35"/>
      <c r="F11" s="35"/>
      <c r="G11" s="36" t="s">
        <v>18</v>
      </c>
      <c r="H11" s="36" t="s">
        <v>19</v>
      </c>
      <c r="I11" s="30"/>
      <c r="J11" s="30"/>
      <c r="K11" s="30"/>
      <c r="L11" s="30"/>
    </row>
    <row r="12" spans="1:12" ht="41.4" x14ac:dyDescent="0.3">
      <c r="A12" s="37" t="s">
        <v>20</v>
      </c>
      <c r="B12" s="38" t="s">
        <v>21</v>
      </c>
      <c r="C12" s="38" t="s">
        <v>22</v>
      </c>
      <c r="D12" s="38" t="s">
        <v>23</v>
      </c>
      <c r="E12" s="38" t="s">
        <v>24</v>
      </c>
      <c r="F12" s="39" t="s">
        <v>25</v>
      </c>
      <c r="G12" s="40" t="s">
        <v>26</v>
      </c>
      <c r="H12" s="41" t="s">
        <v>27</v>
      </c>
      <c r="I12" s="42" t="s">
        <v>28</v>
      </c>
      <c r="J12" s="43" t="s">
        <v>29</v>
      </c>
      <c r="K12" s="44" t="s">
        <v>30</v>
      </c>
      <c r="L12" s="45" t="s">
        <v>31</v>
      </c>
    </row>
    <row r="13" spans="1:12" x14ac:dyDescent="0.3">
      <c r="A13" s="10">
        <v>45658</v>
      </c>
      <c r="B13" s="11">
        <v>3</v>
      </c>
      <c r="C13" s="11">
        <v>3</v>
      </c>
      <c r="D13" s="11">
        <v>0</v>
      </c>
      <c r="E13" s="11">
        <v>5</v>
      </c>
      <c r="F13" s="12">
        <v>6</v>
      </c>
      <c r="G13" s="13">
        <f t="shared" ref="G13:G43" si="0">AVERAGE(B13:F13)</f>
        <v>3.4</v>
      </c>
      <c r="H13" s="14">
        <f ca="1">AVERAGE($H$13:$H$43)</f>
        <v>7.032258064516129</v>
      </c>
      <c r="I13" s="15">
        <f t="shared" ref="I13:I43" si="1">STDEV(B13:F13)</f>
        <v>2.3021728866442679</v>
      </c>
      <c r="J13" s="16">
        <f ca="1">AVERAGE($J$13:$J$43)</f>
        <v>5.6010214636343036</v>
      </c>
      <c r="K13" s="17">
        <f t="shared" ref="K13:K43" ca="1" si="2">H13-($B$9*J13)</f>
        <v>1.7112876740635405</v>
      </c>
      <c r="L13" s="18">
        <f ca="1">H13+($B$9*J13)</f>
        <v>12.353228454968718</v>
      </c>
    </row>
    <row r="14" spans="1:12" x14ac:dyDescent="0.3">
      <c r="A14" s="10">
        <v>45659</v>
      </c>
      <c r="B14" s="11">
        <v>5</v>
      </c>
      <c r="C14" s="11">
        <v>5</v>
      </c>
      <c r="D14" s="11">
        <v>14</v>
      </c>
      <c r="E14" s="11">
        <v>3</v>
      </c>
      <c r="F14" s="12">
        <v>2</v>
      </c>
      <c r="G14" s="13">
        <f t="shared" si="0"/>
        <v>5.8</v>
      </c>
      <c r="H14" s="14">
        <f t="shared" ref="H14:H43" ca="1" si="3">AVERAGE($H$13:$H$43)</f>
        <v>7.032258064516129</v>
      </c>
      <c r="I14" s="15">
        <f t="shared" si="1"/>
        <v>4.7644516998286388</v>
      </c>
      <c r="J14" s="16">
        <f t="shared" ref="J14:J43" ca="1" si="4">AVERAGE($J$13:$J$43)</f>
        <v>5.6010214636343036</v>
      </c>
      <c r="K14" s="17">
        <f t="shared" ca="1" si="2"/>
        <v>1.7112876740635405</v>
      </c>
      <c r="L14" s="18">
        <f t="shared" ref="L14:L43" ca="1" si="5">H14+($B$9*J14)</f>
        <v>12.353228454968718</v>
      </c>
    </row>
    <row r="15" spans="1:12" x14ac:dyDescent="0.3">
      <c r="A15" s="10">
        <v>45660</v>
      </c>
      <c r="B15" s="11">
        <v>1</v>
      </c>
      <c r="C15" s="11">
        <v>13</v>
      </c>
      <c r="D15" s="11">
        <v>9</v>
      </c>
      <c r="E15" s="11">
        <v>9</v>
      </c>
      <c r="F15" s="12">
        <v>7</v>
      </c>
      <c r="G15" s="13">
        <f t="shared" si="0"/>
        <v>7.8</v>
      </c>
      <c r="H15" s="14">
        <f t="shared" ca="1" si="3"/>
        <v>7.032258064516129</v>
      </c>
      <c r="I15" s="15">
        <f t="shared" si="1"/>
        <v>4.3817804600413295</v>
      </c>
      <c r="J15" s="16">
        <f t="shared" ca="1" si="4"/>
        <v>5.6010214636343036</v>
      </c>
      <c r="K15" s="17">
        <f t="shared" ca="1" si="2"/>
        <v>1.7112876740635405</v>
      </c>
      <c r="L15" s="18">
        <f t="shared" ca="1" si="5"/>
        <v>12.353228454968718</v>
      </c>
    </row>
    <row r="16" spans="1:12" x14ac:dyDescent="0.3">
      <c r="A16" s="10">
        <v>45661</v>
      </c>
      <c r="B16" s="11">
        <v>2</v>
      </c>
      <c r="C16" s="11">
        <v>0</v>
      </c>
      <c r="D16" s="11">
        <v>20</v>
      </c>
      <c r="E16" s="11">
        <v>3</v>
      </c>
      <c r="F16" s="12">
        <v>4</v>
      </c>
      <c r="G16" s="13">
        <f t="shared" si="0"/>
        <v>5.8</v>
      </c>
      <c r="H16" s="14">
        <f t="shared" ca="1" si="3"/>
        <v>7.032258064516129</v>
      </c>
      <c r="I16" s="15">
        <f t="shared" si="1"/>
        <v>8.0746516952745395</v>
      </c>
      <c r="J16" s="16">
        <f t="shared" ca="1" si="4"/>
        <v>5.6010214636343036</v>
      </c>
      <c r="K16" s="17">
        <f t="shared" ca="1" si="2"/>
        <v>1.7112876740635405</v>
      </c>
      <c r="L16" s="18">
        <f t="shared" ca="1" si="5"/>
        <v>12.353228454968718</v>
      </c>
    </row>
    <row r="17" spans="1:12" x14ac:dyDescent="0.3">
      <c r="A17" s="10">
        <v>45662</v>
      </c>
      <c r="B17" s="11">
        <v>2</v>
      </c>
      <c r="C17" s="11">
        <v>12</v>
      </c>
      <c r="D17" s="11">
        <v>14</v>
      </c>
      <c r="E17" s="11">
        <v>2</v>
      </c>
      <c r="F17" s="12">
        <v>5</v>
      </c>
      <c r="G17" s="13">
        <f t="shared" si="0"/>
        <v>7</v>
      </c>
      <c r="H17" s="14">
        <f t="shared" ca="1" si="3"/>
        <v>7.032258064516129</v>
      </c>
      <c r="I17" s="15">
        <f t="shared" si="1"/>
        <v>5.6568542494923806</v>
      </c>
      <c r="J17" s="16">
        <f t="shared" ca="1" si="4"/>
        <v>5.6010214636343036</v>
      </c>
      <c r="K17" s="17">
        <f t="shared" ca="1" si="2"/>
        <v>1.7112876740635405</v>
      </c>
      <c r="L17" s="18">
        <f t="shared" ca="1" si="5"/>
        <v>12.353228454968718</v>
      </c>
    </row>
    <row r="18" spans="1:12" x14ac:dyDescent="0.3">
      <c r="A18" s="10">
        <v>45663</v>
      </c>
      <c r="B18" s="11">
        <v>3</v>
      </c>
      <c r="C18" s="11">
        <v>22</v>
      </c>
      <c r="D18" s="11">
        <v>2</v>
      </c>
      <c r="E18" s="11">
        <v>1</v>
      </c>
      <c r="F18" s="12">
        <v>6</v>
      </c>
      <c r="G18" s="13">
        <f t="shared" si="0"/>
        <v>6.8</v>
      </c>
      <c r="H18" s="14">
        <f t="shared" ca="1" si="3"/>
        <v>7.032258064516129</v>
      </c>
      <c r="I18" s="15">
        <f t="shared" si="1"/>
        <v>8.7005746936624817</v>
      </c>
      <c r="J18" s="16">
        <f t="shared" ca="1" si="4"/>
        <v>5.6010214636343036</v>
      </c>
      <c r="K18" s="17">
        <f t="shared" ca="1" si="2"/>
        <v>1.7112876740635405</v>
      </c>
      <c r="L18" s="18">
        <f t="shared" ca="1" si="5"/>
        <v>12.353228454968718</v>
      </c>
    </row>
    <row r="19" spans="1:12" x14ac:dyDescent="0.3">
      <c r="A19" s="10">
        <v>45664</v>
      </c>
      <c r="B19" s="11">
        <v>0</v>
      </c>
      <c r="C19" s="11">
        <v>15</v>
      </c>
      <c r="D19" s="11">
        <v>13</v>
      </c>
      <c r="E19" s="11">
        <v>7</v>
      </c>
      <c r="F19" s="12">
        <v>1</v>
      </c>
      <c r="G19" s="13">
        <f t="shared" si="0"/>
        <v>7.2</v>
      </c>
      <c r="H19" s="14">
        <f t="shared" ca="1" si="3"/>
        <v>7.032258064516129</v>
      </c>
      <c r="I19" s="15">
        <f t="shared" si="1"/>
        <v>6.7970581871865718</v>
      </c>
      <c r="J19" s="16">
        <f t="shared" ca="1" si="4"/>
        <v>5.6010214636343036</v>
      </c>
      <c r="K19" s="17">
        <f t="shared" ca="1" si="2"/>
        <v>1.7112876740635405</v>
      </c>
      <c r="L19" s="18">
        <f t="shared" ca="1" si="5"/>
        <v>12.353228454968718</v>
      </c>
    </row>
    <row r="20" spans="1:12" x14ac:dyDescent="0.3">
      <c r="A20" s="10">
        <v>45665</v>
      </c>
      <c r="B20" s="11">
        <v>4</v>
      </c>
      <c r="C20" s="11">
        <v>7</v>
      </c>
      <c r="D20" s="11">
        <v>16</v>
      </c>
      <c r="E20" s="11">
        <v>2</v>
      </c>
      <c r="F20" s="12">
        <v>6</v>
      </c>
      <c r="G20" s="13">
        <f t="shared" si="0"/>
        <v>7</v>
      </c>
      <c r="H20" s="14">
        <f t="shared" ca="1" si="3"/>
        <v>7.032258064516129</v>
      </c>
      <c r="I20" s="15">
        <f t="shared" si="1"/>
        <v>5.3851648071345037</v>
      </c>
      <c r="J20" s="16">
        <f t="shared" ca="1" si="4"/>
        <v>5.6010214636343036</v>
      </c>
      <c r="K20" s="17">
        <f t="shared" ca="1" si="2"/>
        <v>1.7112876740635405</v>
      </c>
      <c r="L20" s="18">
        <f t="shared" ca="1" si="5"/>
        <v>12.353228454968718</v>
      </c>
    </row>
    <row r="21" spans="1:12" x14ac:dyDescent="0.3">
      <c r="A21" s="10">
        <v>45666</v>
      </c>
      <c r="B21" s="11">
        <v>1</v>
      </c>
      <c r="C21" s="11">
        <v>8</v>
      </c>
      <c r="D21" s="11">
        <v>4</v>
      </c>
      <c r="E21" s="11">
        <v>9</v>
      </c>
      <c r="F21" s="12">
        <v>7</v>
      </c>
      <c r="G21" s="13">
        <f t="shared" si="0"/>
        <v>5.8</v>
      </c>
      <c r="H21" s="14">
        <f t="shared" ca="1" si="3"/>
        <v>7.032258064516129</v>
      </c>
      <c r="I21" s="15">
        <f t="shared" si="1"/>
        <v>3.2710854467592259</v>
      </c>
      <c r="J21" s="16">
        <f t="shared" ca="1" si="4"/>
        <v>5.6010214636343036</v>
      </c>
      <c r="K21" s="17">
        <f t="shared" ca="1" si="2"/>
        <v>1.7112876740635405</v>
      </c>
      <c r="L21" s="18">
        <f t="shared" ca="1" si="5"/>
        <v>12.353228454968718</v>
      </c>
    </row>
    <row r="22" spans="1:12" x14ac:dyDescent="0.3">
      <c r="A22" s="10">
        <v>45667</v>
      </c>
      <c r="B22" s="11">
        <v>0</v>
      </c>
      <c r="C22" s="11">
        <v>18</v>
      </c>
      <c r="D22" s="11">
        <v>18</v>
      </c>
      <c r="E22" s="11">
        <v>10</v>
      </c>
      <c r="F22" s="12">
        <v>4</v>
      </c>
      <c r="G22" s="13">
        <f t="shared" si="0"/>
        <v>10</v>
      </c>
      <c r="H22" s="14">
        <f t="shared" ca="1" si="3"/>
        <v>7.032258064516129</v>
      </c>
      <c r="I22" s="15">
        <f t="shared" si="1"/>
        <v>8.1240384046359608</v>
      </c>
      <c r="J22" s="16">
        <f t="shared" ca="1" si="4"/>
        <v>5.6010214636343036</v>
      </c>
      <c r="K22" s="17">
        <f t="shared" ca="1" si="2"/>
        <v>1.7112876740635405</v>
      </c>
      <c r="L22" s="18">
        <f t="shared" ca="1" si="5"/>
        <v>12.353228454968718</v>
      </c>
    </row>
    <row r="23" spans="1:12" x14ac:dyDescent="0.3">
      <c r="A23" s="10">
        <v>45668</v>
      </c>
      <c r="B23" s="11">
        <v>1</v>
      </c>
      <c r="C23" s="11">
        <v>13</v>
      </c>
      <c r="D23" s="11">
        <v>21</v>
      </c>
      <c r="E23" s="11">
        <v>8</v>
      </c>
      <c r="F23" s="12">
        <v>8</v>
      </c>
      <c r="G23" s="13">
        <f t="shared" si="0"/>
        <v>10.199999999999999</v>
      </c>
      <c r="H23" s="14">
        <f t="shared" ca="1" si="3"/>
        <v>7.032258064516129</v>
      </c>
      <c r="I23" s="15">
        <f t="shared" si="1"/>
        <v>7.3959448348402379</v>
      </c>
      <c r="J23" s="16">
        <f t="shared" ca="1" si="4"/>
        <v>5.6010214636343036</v>
      </c>
      <c r="K23" s="17">
        <f t="shared" ca="1" si="2"/>
        <v>1.7112876740635405</v>
      </c>
      <c r="L23" s="18">
        <f t="shared" ca="1" si="5"/>
        <v>12.353228454968718</v>
      </c>
    </row>
    <row r="24" spans="1:12" x14ac:dyDescent="0.3">
      <c r="A24" s="10">
        <v>45669</v>
      </c>
      <c r="B24" s="11">
        <v>0</v>
      </c>
      <c r="C24" s="11">
        <v>8</v>
      </c>
      <c r="D24" s="11">
        <v>6</v>
      </c>
      <c r="E24" s="11">
        <v>4</v>
      </c>
      <c r="F24" s="12">
        <v>4</v>
      </c>
      <c r="G24" s="13">
        <f t="shared" si="0"/>
        <v>4.4000000000000004</v>
      </c>
      <c r="H24" s="14">
        <f t="shared" ca="1" si="3"/>
        <v>7.032258064516129</v>
      </c>
      <c r="I24" s="15">
        <f t="shared" si="1"/>
        <v>2.9664793948382653</v>
      </c>
      <c r="J24" s="16">
        <f t="shared" ca="1" si="4"/>
        <v>5.6010214636343036</v>
      </c>
      <c r="K24" s="17">
        <f t="shared" ca="1" si="2"/>
        <v>1.7112876740635405</v>
      </c>
      <c r="L24" s="18">
        <f t="shared" ca="1" si="5"/>
        <v>12.353228454968718</v>
      </c>
    </row>
    <row r="25" spans="1:12" x14ac:dyDescent="0.3">
      <c r="A25" s="10">
        <v>45670</v>
      </c>
      <c r="B25" s="11">
        <v>4</v>
      </c>
      <c r="C25" s="11">
        <v>10</v>
      </c>
      <c r="D25" s="11">
        <v>15</v>
      </c>
      <c r="E25" s="11">
        <v>1</v>
      </c>
      <c r="F25" s="12">
        <v>3</v>
      </c>
      <c r="G25" s="13">
        <f t="shared" si="0"/>
        <v>6.6</v>
      </c>
      <c r="H25" s="14">
        <f t="shared" ca="1" si="3"/>
        <v>7.032258064516129</v>
      </c>
      <c r="I25" s="15">
        <f t="shared" si="1"/>
        <v>5.770615218501403</v>
      </c>
      <c r="J25" s="16">
        <f t="shared" ca="1" si="4"/>
        <v>5.6010214636343036</v>
      </c>
      <c r="K25" s="17">
        <f t="shared" ca="1" si="2"/>
        <v>1.7112876740635405</v>
      </c>
      <c r="L25" s="18">
        <f t="shared" ca="1" si="5"/>
        <v>12.353228454968718</v>
      </c>
    </row>
    <row r="26" spans="1:12" x14ac:dyDescent="0.3">
      <c r="A26" s="10">
        <v>45671</v>
      </c>
      <c r="B26" s="11">
        <v>2</v>
      </c>
      <c r="C26" s="11">
        <v>15</v>
      </c>
      <c r="D26" s="11">
        <v>10</v>
      </c>
      <c r="E26" s="11">
        <v>6</v>
      </c>
      <c r="F26" s="12">
        <v>8</v>
      </c>
      <c r="G26" s="13">
        <f t="shared" si="0"/>
        <v>8.1999999999999993</v>
      </c>
      <c r="H26" s="14">
        <f t="shared" ca="1" si="3"/>
        <v>7.032258064516129</v>
      </c>
      <c r="I26" s="15">
        <f t="shared" si="1"/>
        <v>4.8166378315169185</v>
      </c>
      <c r="J26" s="16">
        <f t="shared" ca="1" si="4"/>
        <v>5.6010214636343036</v>
      </c>
      <c r="K26" s="17">
        <f t="shared" ca="1" si="2"/>
        <v>1.7112876740635405</v>
      </c>
      <c r="L26" s="18">
        <f t="shared" ca="1" si="5"/>
        <v>12.353228454968718</v>
      </c>
    </row>
    <row r="27" spans="1:12" x14ac:dyDescent="0.3">
      <c r="A27" s="10">
        <v>45672</v>
      </c>
      <c r="B27" s="11">
        <v>4</v>
      </c>
      <c r="C27" s="11">
        <v>9</v>
      </c>
      <c r="D27" s="11">
        <v>15</v>
      </c>
      <c r="E27" s="11">
        <v>8</v>
      </c>
      <c r="F27" s="12">
        <v>3</v>
      </c>
      <c r="G27" s="13">
        <f t="shared" si="0"/>
        <v>7.8</v>
      </c>
      <c r="H27" s="14">
        <f t="shared" ca="1" si="3"/>
        <v>7.032258064516129</v>
      </c>
      <c r="I27" s="15">
        <f t="shared" si="1"/>
        <v>4.7644516998286388</v>
      </c>
      <c r="J27" s="16">
        <f t="shared" ca="1" si="4"/>
        <v>5.6010214636343036</v>
      </c>
      <c r="K27" s="17">
        <f t="shared" ca="1" si="2"/>
        <v>1.7112876740635405</v>
      </c>
      <c r="L27" s="18">
        <f t="shared" ca="1" si="5"/>
        <v>12.353228454968718</v>
      </c>
    </row>
    <row r="28" spans="1:12" x14ac:dyDescent="0.3">
      <c r="A28" s="10">
        <v>45673</v>
      </c>
      <c r="B28" s="11">
        <v>3</v>
      </c>
      <c r="C28" s="11">
        <v>14</v>
      </c>
      <c r="D28" s="11">
        <v>22</v>
      </c>
      <c r="E28" s="11">
        <v>6</v>
      </c>
      <c r="F28" s="12">
        <v>6</v>
      </c>
      <c r="G28" s="13">
        <f t="shared" si="0"/>
        <v>10.199999999999999</v>
      </c>
      <c r="H28" s="14">
        <f t="shared" ca="1" si="3"/>
        <v>7.032258064516129</v>
      </c>
      <c r="I28" s="15">
        <f t="shared" si="1"/>
        <v>7.7588658965083281</v>
      </c>
      <c r="J28" s="16">
        <f t="shared" ca="1" si="4"/>
        <v>5.6010214636343036</v>
      </c>
      <c r="K28" s="17">
        <f t="shared" ca="1" si="2"/>
        <v>1.7112876740635405</v>
      </c>
      <c r="L28" s="18">
        <f t="shared" ca="1" si="5"/>
        <v>12.353228454968718</v>
      </c>
    </row>
    <row r="29" spans="1:12" x14ac:dyDescent="0.3">
      <c r="A29" s="10">
        <v>45674</v>
      </c>
      <c r="B29" s="11">
        <v>3</v>
      </c>
      <c r="C29" s="11">
        <v>12</v>
      </c>
      <c r="D29" s="11">
        <v>8</v>
      </c>
      <c r="E29" s="11">
        <v>10</v>
      </c>
      <c r="F29" s="12">
        <v>7</v>
      </c>
      <c r="G29" s="13">
        <f t="shared" si="0"/>
        <v>8</v>
      </c>
      <c r="H29" s="14">
        <f t="shared" ca="1" si="3"/>
        <v>7.032258064516129</v>
      </c>
      <c r="I29" s="15">
        <f t="shared" si="1"/>
        <v>3.3911649915626341</v>
      </c>
      <c r="J29" s="16">
        <f t="shared" ca="1" si="4"/>
        <v>5.6010214636343036</v>
      </c>
      <c r="K29" s="17">
        <f t="shared" ca="1" si="2"/>
        <v>1.7112876740635405</v>
      </c>
      <c r="L29" s="18">
        <f t="shared" ca="1" si="5"/>
        <v>12.353228454968718</v>
      </c>
    </row>
    <row r="30" spans="1:12" x14ac:dyDescent="0.3">
      <c r="A30" s="10">
        <v>45675</v>
      </c>
      <c r="B30" s="11">
        <v>4</v>
      </c>
      <c r="C30" s="11">
        <v>20</v>
      </c>
      <c r="D30" s="11">
        <v>4</v>
      </c>
      <c r="E30" s="11">
        <v>4</v>
      </c>
      <c r="F30" s="12">
        <v>2</v>
      </c>
      <c r="G30" s="13">
        <f t="shared" si="0"/>
        <v>6.8</v>
      </c>
      <c r="H30" s="14">
        <f t="shared" ca="1" si="3"/>
        <v>7.032258064516129</v>
      </c>
      <c r="I30" s="15">
        <f t="shared" si="1"/>
        <v>7.429670248402684</v>
      </c>
      <c r="J30" s="16">
        <f t="shared" ca="1" si="4"/>
        <v>5.6010214636343036</v>
      </c>
      <c r="K30" s="17">
        <f t="shared" ca="1" si="2"/>
        <v>1.7112876740635405</v>
      </c>
      <c r="L30" s="18">
        <f t="shared" ca="1" si="5"/>
        <v>12.353228454968718</v>
      </c>
    </row>
    <row r="31" spans="1:12" x14ac:dyDescent="0.3">
      <c r="A31" s="10">
        <v>45676</v>
      </c>
      <c r="B31" s="11">
        <v>0</v>
      </c>
      <c r="C31" s="11">
        <v>9</v>
      </c>
      <c r="D31" s="11">
        <v>10</v>
      </c>
      <c r="E31" s="11">
        <v>11</v>
      </c>
      <c r="F31" s="12">
        <v>8</v>
      </c>
      <c r="G31" s="13">
        <f t="shared" si="0"/>
        <v>7.6</v>
      </c>
      <c r="H31" s="14">
        <f t="shared" ca="1" si="3"/>
        <v>7.032258064516129</v>
      </c>
      <c r="I31" s="15">
        <f t="shared" si="1"/>
        <v>4.3931765272977588</v>
      </c>
      <c r="J31" s="16">
        <f t="shared" ca="1" si="4"/>
        <v>5.6010214636343036</v>
      </c>
      <c r="K31" s="17">
        <f t="shared" ca="1" si="2"/>
        <v>1.7112876740635405</v>
      </c>
      <c r="L31" s="18">
        <f t="shared" ca="1" si="5"/>
        <v>12.353228454968718</v>
      </c>
    </row>
    <row r="32" spans="1:12" x14ac:dyDescent="0.3">
      <c r="A32" s="10">
        <v>45677</v>
      </c>
      <c r="B32" s="11">
        <v>5</v>
      </c>
      <c r="C32" s="11">
        <v>4</v>
      </c>
      <c r="D32" s="11">
        <v>11</v>
      </c>
      <c r="E32" s="11">
        <v>0</v>
      </c>
      <c r="F32" s="12">
        <v>2</v>
      </c>
      <c r="G32" s="13">
        <f t="shared" si="0"/>
        <v>4.4000000000000004</v>
      </c>
      <c r="H32" s="14">
        <f t="shared" ca="1" si="3"/>
        <v>7.032258064516129</v>
      </c>
      <c r="I32" s="15">
        <f t="shared" si="1"/>
        <v>4.1593268686170841</v>
      </c>
      <c r="J32" s="16">
        <f t="shared" ca="1" si="4"/>
        <v>5.6010214636343036</v>
      </c>
      <c r="K32" s="17">
        <f t="shared" ca="1" si="2"/>
        <v>1.7112876740635405</v>
      </c>
      <c r="L32" s="18">
        <f t="shared" ca="1" si="5"/>
        <v>12.353228454968718</v>
      </c>
    </row>
    <row r="33" spans="1:12" x14ac:dyDescent="0.3">
      <c r="A33" s="10">
        <v>45678</v>
      </c>
      <c r="B33" s="11">
        <v>4</v>
      </c>
      <c r="C33" s="11">
        <v>11</v>
      </c>
      <c r="D33" s="11">
        <v>21</v>
      </c>
      <c r="E33" s="11">
        <v>7</v>
      </c>
      <c r="F33" s="12">
        <v>5</v>
      </c>
      <c r="G33" s="13">
        <f t="shared" si="0"/>
        <v>9.6</v>
      </c>
      <c r="H33" s="14">
        <f t="shared" ca="1" si="3"/>
        <v>7.032258064516129</v>
      </c>
      <c r="I33" s="15">
        <f t="shared" si="1"/>
        <v>6.9137544069774419</v>
      </c>
      <c r="J33" s="16">
        <f t="shared" ca="1" si="4"/>
        <v>5.6010214636343036</v>
      </c>
      <c r="K33" s="17">
        <f t="shared" ca="1" si="2"/>
        <v>1.7112876740635405</v>
      </c>
      <c r="L33" s="18">
        <f t="shared" ca="1" si="5"/>
        <v>12.353228454968718</v>
      </c>
    </row>
    <row r="34" spans="1:12" x14ac:dyDescent="0.3">
      <c r="A34" s="10">
        <v>45679</v>
      </c>
      <c r="B34" s="11">
        <v>1</v>
      </c>
      <c r="C34" s="11">
        <v>10</v>
      </c>
      <c r="D34" s="11">
        <v>18</v>
      </c>
      <c r="E34" s="11">
        <v>3</v>
      </c>
      <c r="F34" s="12">
        <v>0</v>
      </c>
      <c r="G34" s="13">
        <f t="shared" si="0"/>
        <v>6.4</v>
      </c>
      <c r="H34" s="14">
        <f t="shared" ca="1" si="3"/>
        <v>7.032258064516129</v>
      </c>
      <c r="I34" s="15">
        <f t="shared" si="1"/>
        <v>7.5696763471102244</v>
      </c>
      <c r="J34" s="16">
        <f t="shared" ca="1" si="4"/>
        <v>5.6010214636343036</v>
      </c>
      <c r="K34" s="17">
        <f t="shared" ca="1" si="2"/>
        <v>1.7112876740635405</v>
      </c>
      <c r="L34" s="18">
        <f t="shared" ca="1" si="5"/>
        <v>12.353228454968718</v>
      </c>
    </row>
    <row r="35" spans="1:12" x14ac:dyDescent="0.3">
      <c r="A35" s="10">
        <v>45680</v>
      </c>
      <c r="B35" s="11">
        <v>5</v>
      </c>
      <c r="C35" s="11">
        <v>13</v>
      </c>
      <c r="D35" s="11">
        <v>18</v>
      </c>
      <c r="E35" s="11">
        <v>4</v>
      </c>
      <c r="F35" s="12">
        <v>3</v>
      </c>
      <c r="G35" s="13">
        <f t="shared" si="0"/>
        <v>8.6</v>
      </c>
      <c r="H35" s="14">
        <f t="shared" ca="1" si="3"/>
        <v>7.032258064516129</v>
      </c>
      <c r="I35" s="15">
        <f t="shared" si="1"/>
        <v>6.58027355054484</v>
      </c>
      <c r="J35" s="16">
        <f t="shared" ca="1" si="4"/>
        <v>5.6010214636343036</v>
      </c>
      <c r="K35" s="17">
        <f t="shared" ca="1" si="2"/>
        <v>1.7112876740635405</v>
      </c>
      <c r="L35" s="18">
        <f t="shared" ca="1" si="5"/>
        <v>12.353228454968718</v>
      </c>
    </row>
    <row r="36" spans="1:12" x14ac:dyDescent="0.3">
      <c r="A36" s="10">
        <v>45681</v>
      </c>
      <c r="B36" s="11">
        <v>0</v>
      </c>
      <c r="C36" s="11">
        <v>9</v>
      </c>
      <c r="D36" s="11">
        <v>10</v>
      </c>
      <c r="E36" s="11">
        <v>7</v>
      </c>
      <c r="F36" s="12">
        <v>0</v>
      </c>
      <c r="G36" s="13">
        <f t="shared" si="0"/>
        <v>5.2</v>
      </c>
      <c r="H36" s="14">
        <f t="shared" ca="1" si="3"/>
        <v>7.032258064516129</v>
      </c>
      <c r="I36" s="15">
        <f t="shared" si="1"/>
        <v>4.8682645778552347</v>
      </c>
      <c r="J36" s="16">
        <f t="shared" ca="1" si="4"/>
        <v>5.6010214636343036</v>
      </c>
      <c r="K36" s="17">
        <f t="shared" ca="1" si="2"/>
        <v>1.7112876740635405</v>
      </c>
      <c r="L36" s="18">
        <f t="shared" ca="1" si="5"/>
        <v>12.353228454968718</v>
      </c>
    </row>
    <row r="37" spans="1:12" x14ac:dyDescent="0.3">
      <c r="A37" s="10">
        <v>45682</v>
      </c>
      <c r="B37" s="11">
        <v>3</v>
      </c>
      <c r="C37" s="11">
        <v>8</v>
      </c>
      <c r="D37" s="11">
        <v>3</v>
      </c>
      <c r="E37" s="11">
        <v>5</v>
      </c>
      <c r="F37" s="12">
        <v>0</v>
      </c>
      <c r="G37" s="13">
        <f t="shared" si="0"/>
        <v>3.8</v>
      </c>
      <c r="H37" s="14">
        <f t="shared" ca="1" si="3"/>
        <v>7.032258064516129</v>
      </c>
      <c r="I37" s="15">
        <f t="shared" si="1"/>
        <v>2.9495762407505248</v>
      </c>
      <c r="J37" s="16">
        <f t="shared" ca="1" si="4"/>
        <v>5.6010214636343036</v>
      </c>
      <c r="K37" s="17">
        <f t="shared" ca="1" si="2"/>
        <v>1.7112876740635405</v>
      </c>
      <c r="L37" s="18">
        <f t="shared" ca="1" si="5"/>
        <v>12.353228454968718</v>
      </c>
    </row>
    <row r="38" spans="1:12" x14ac:dyDescent="0.3">
      <c r="A38" s="10">
        <v>45683</v>
      </c>
      <c r="B38" s="11">
        <v>0</v>
      </c>
      <c r="C38" s="11">
        <v>10</v>
      </c>
      <c r="D38" s="11">
        <v>10</v>
      </c>
      <c r="E38" s="11">
        <v>9</v>
      </c>
      <c r="F38" s="12">
        <v>5</v>
      </c>
      <c r="G38" s="13">
        <f t="shared" si="0"/>
        <v>6.8</v>
      </c>
      <c r="H38" s="14">
        <f t="shared" ca="1" si="3"/>
        <v>7.032258064516129</v>
      </c>
      <c r="I38" s="15">
        <f t="shared" si="1"/>
        <v>4.3243496620879309</v>
      </c>
      <c r="J38" s="16">
        <f t="shared" ca="1" si="4"/>
        <v>5.6010214636343036</v>
      </c>
      <c r="K38" s="17">
        <f t="shared" ca="1" si="2"/>
        <v>1.7112876740635405</v>
      </c>
      <c r="L38" s="18">
        <f t="shared" ca="1" si="5"/>
        <v>12.353228454968718</v>
      </c>
    </row>
    <row r="39" spans="1:12" x14ac:dyDescent="0.3">
      <c r="A39" s="10">
        <v>45684</v>
      </c>
      <c r="B39" s="11">
        <v>3</v>
      </c>
      <c r="C39" s="11">
        <v>13</v>
      </c>
      <c r="D39" s="11">
        <v>8</v>
      </c>
      <c r="E39" s="11">
        <v>2</v>
      </c>
      <c r="F39" s="12">
        <v>2</v>
      </c>
      <c r="G39" s="13">
        <f t="shared" si="0"/>
        <v>5.6</v>
      </c>
      <c r="H39" s="14">
        <f t="shared" ca="1" si="3"/>
        <v>7.032258064516129</v>
      </c>
      <c r="I39" s="15">
        <f t="shared" si="1"/>
        <v>4.8270073544588676</v>
      </c>
      <c r="J39" s="16">
        <f t="shared" ca="1" si="4"/>
        <v>5.6010214636343036</v>
      </c>
      <c r="K39" s="17">
        <f t="shared" ca="1" si="2"/>
        <v>1.7112876740635405</v>
      </c>
      <c r="L39" s="18">
        <f t="shared" ca="1" si="5"/>
        <v>12.353228454968718</v>
      </c>
    </row>
    <row r="40" spans="1:12" x14ac:dyDescent="0.3">
      <c r="A40" s="10">
        <v>45685</v>
      </c>
      <c r="B40" s="11">
        <v>3</v>
      </c>
      <c r="C40" s="11">
        <v>22</v>
      </c>
      <c r="D40" s="11">
        <v>6</v>
      </c>
      <c r="E40" s="11">
        <v>9</v>
      </c>
      <c r="F40" s="12">
        <v>4</v>
      </c>
      <c r="G40" s="13">
        <f t="shared" si="0"/>
        <v>8.8000000000000007</v>
      </c>
      <c r="H40" s="14">
        <f t="shared" ca="1" si="3"/>
        <v>7.032258064516129</v>
      </c>
      <c r="I40" s="15">
        <f t="shared" si="1"/>
        <v>7.7265775088327437</v>
      </c>
      <c r="J40" s="16">
        <f t="shared" ca="1" si="4"/>
        <v>5.6010214636343036</v>
      </c>
      <c r="K40" s="17">
        <f t="shared" ca="1" si="2"/>
        <v>1.7112876740635405</v>
      </c>
      <c r="L40" s="18">
        <f t="shared" ca="1" si="5"/>
        <v>12.353228454968718</v>
      </c>
    </row>
    <row r="41" spans="1:12" x14ac:dyDescent="0.3">
      <c r="A41" s="10">
        <v>45686</v>
      </c>
      <c r="B41" s="11">
        <v>0</v>
      </c>
      <c r="C41" s="11">
        <v>14</v>
      </c>
      <c r="D41" s="11">
        <v>12</v>
      </c>
      <c r="E41" s="11">
        <v>10</v>
      </c>
      <c r="F41" s="12">
        <v>7</v>
      </c>
      <c r="G41" s="13">
        <f t="shared" si="0"/>
        <v>8.6</v>
      </c>
      <c r="H41" s="14">
        <f t="shared" ca="1" si="3"/>
        <v>7.032258064516129</v>
      </c>
      <c r="I41" s="15">
        <f t="shared" si="1"/>
        <v>5.4589376255824718</v>
      </c>
      <c r="J41" s="16">
        <f t="shared" ca="1" si="4"/>
        <v>5.6010214636343036</v>
      </c>
      <c r="K41" s="17">
        <f t="shared" ca="1" si="2"/>
        <v>1.7112876740635405</v>
      </c>
      <c r="L41" s="18">
        <f t="shared" ca="1" si="5"/>
        <v>12.353228454968718</v>
      </c>
    </row>
    <row r="42" spans="1:12" x14ac:dyDescent="0.3">
      <c r="A42" s="10">
        <v>45687</v>
      </c>
      <c r="B42" s="11">
        <v>5</v>
      </c>
      <c r="C42" s="11">
        <v>17</v>
      </c>
      <c r="D42" s="11">
        <v>19</v>
      </c>
      <c r="E42" s="11">
        <v>1</v>
      </c>
      <c r="F42" s="12">
        <v>4</v>
      </c>
      <c r="G42" s="13">
        <f t="shared" si="0"/>
        <v>9.1999999999999993</v>
      </c>
      <c r="H42" s="14">
        <f t="shared" ca="1" si="3"/>
        <v>7.032258064516129</v>
      </c>
      <c r="I42" s="15">
        <f t="shared" si="1"/>
        <v>8.1975606127676794</v>
      </c>
      <c r="J42" s="16">
        <f t="shared" ca="1" si="4"/>
        <v>5.6010214636343036</v>
      </c>
      <c r="K42" s="17">
        <f t="shared" ca="1" si="2"/>
        <v>1.7112876740635405</v>
      </c>
      <c r="L42" s="18">
        <f t="shared" ca="1" si="5"/>
        <v>12.353228454968718</v>
      </c>
    </row>
    <row r="43" spans="1:12" x14ac:dyDescent="0.3">
      <c r="A43" s="10">
        <v>45688</v>
      </c>
      <c r="B43" s="11">
        <v>5</v>
      </c>
      <c r="C43" s="11">
        <v>2</v>
      </c>
      <c r="D43" s="11">
        <v>11</v>
      </c>
      <c r="E43" s="11">
        <v>4</v>
      </c>
      <c r="F43" s="12">
        <v>1</v>
      </c>
      <c r="G43" s="13">
        <f t="shared" si="0"/>
        <v>4.5999999999999996</v>
      </c>
      <c r="H43" s="14">
        <f t="shared" ca="1" si="3"/>
        <v>7.032258064516129</v>
      </c>
      <c r="I43" s="15">
        <f t="shared" si="1"/>
        <v>3.9115214431215892</v>
      </c>
      <c r="J43" s="16">
        <f t="shared" ca="1" si="4"/>
        <v>5.6010214636343036</v>
      </c>
      <c r="K43" s="17">
        <f t="shared" ca="1" si="2"/>
        <v>1.7112876740635405</v>
      </c>
      <c r="L43" s="18">
        <f t="shared" ca="1" si="5"/>
        <v>12.353228454968718</v>
      </c>
    </row>
    <row r="44" spans="1:12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</sheetData>
  <mergeCells count="22">
    <mergeCell ref="A8:B8"/>
    <mergeCell ref="A9:B9"/>
    <mergeCell ref="D9:L9"/>
    <mergeCell ref="B11:F11"/>
    <mergeCell ref="A5:D5"/>
    <mergeCell ref="E5:F5"/>
    <mergeCell ref="G5:J5"/>
    <mergeCell ref="K5:L5"/>
    <mergeCell ref="A6:D6"/>
    <mergeCell ref="E6:F6"/>
    <mergeCell ref="G6:J6"/>
    <mergeCell ref="K6:L6"/>
    <mergeCell ref="A2:D2"/>
    <mergeCell ref="E2:F2"/>
    <mergeCell ref="G2:H2"/>
    <mergeCell ref="I2:J2"/>
    <mergeCell ref="K2:L2"/>
    <mergeCell ref="A3:D3"/>
    <mergeCell ref="E3:F3"/>
    <mergeCell ref="G3:H3"/>
    <mergeCell ref="I3:J3"/>
    <mergeCell ref="K3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Escobar</dc:creator>
  <cp:lastModifiedBy>Nelson Escobar</cp:lastModifiedBy>
  <dcterms:created xsi:type="dcterms:W3CDTF">2025-10-26T19:13:03Z</dcterms:created>
  <dcterms:modified xsi:type="dcterms:W3CDTF">2025-10-26T19:32:17Z</dcterms:modified>
</cp:coreProperties>
</file>