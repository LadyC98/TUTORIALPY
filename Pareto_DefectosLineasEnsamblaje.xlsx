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SUS\Documents\"/>
    </mc:Choice>
  </mc:AlternateContent>
  <xr:revisionPtr revIDLastSave="0" documentId="13_ncr:1_{ECEF97F3-EF67-4E61-93AB-9BE201528054}" xr6:coauthVersionLast="47" xr6:coauthVersionMax="47" xr10:uidLastSave="{00000000-0000-0000-0000-000000000000}"/>
  <bookViews>
    <workbookView xWindow="12" yWindow="720" windowWidth="23028" windowHeight="12240" xr2:uid="{8158D853-B50A-4A10-8A48-D75BE08D1ED8}"/>
  </bookViews>
  <sheets>
    <sheet name="Hoja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 i="1" l="1"/>
  <c r="J42" i="1"/>
  <c r="H42" i="1"/>
  <c r="I42" i="1" s="1"/>
  <c r="E42" i="1"/>
  <c r="B42" i="1"/>
  <c r="J41" i="1"/>
  <c r="E41" i="1"/>
  <c r="B41" i="1"/>
  <c r="H41" i="1" s="1"/>
  <c r="I41" i="1" s="1"/>
  <c r="J40" i="1"/>
  <c r="E40" i="1"/>
  <c r="B40" i="1"/>
  <c r="H40" i="1" s="1"/>
  <c r="I40" i="1" s="1"/>
  <c r="J39" i="1"/>
  <c r="H39" i="1"/>
  <c r="I39" i="1" s="1"/>
  <c r="E39" i="1"/>
  <c r="B39" i="1"/>
  <c r="J38" i="1"/>
  <c r="H38" i="1"/>
  <c r="I38" i="1" s="1"/>
  <c r="E38" i="1"/>
  <c r="B38" i="1"/>
  <c r="J37" i="1"/>
  <c r="E37" i="1"/>
  <c r="B37" i="1"/>
  <c r="H37" i="1" s="1"/>
  <c r="I37" i="1" s="1"/>
  <c r="J36" i="1"/>
  <c r="E36" i="1"/>
  <c r="B36" i="1"/>
  <c r="H36" i="1" s="1"/>
  <c r="I36" i="1" l="1"/>
  <c r="B31" i="1"/>
</calcChain>
</file>

<file path=xl/sharedStrings.xml><?xml version="1.0" encoding="utf-8"?>
<sst xmlns="http://schemas.openxmlformats.org/spreadsheetml/2006/main" count="21" uniqueCount="21">
  <si>
    <t>[42]</t>
  </si>
  <si>
    <t>Cutoff:</t>
  </si>
  <si>
    <t>#</t>
  </si>
  <si>
    <t>Problemas</t>
  </si>
  <si>
    <t>Defectos</t>
  </si>
  <si>
    <t>Acumulado %</t>
  </si>
  <si>
    <t>Vital Few</t>
  </si>
  <si>
    <t>Useful Many</t>
  </si>
  <si>
    <t>Cut Off %</t>
  </si>
  <si>
    <t>Los componentes no se adhieren</t>
  </si>
  <si>
    <t>Exceso de adhesivo</t>
  </si>
  <si>
    <t>Transistores mal ubicados</t>
  </si>
  <si>
    <t>Dimensión defectuosa de la tarjeta</t>
  </si>
  <si>
    <t>Perforaciones de montaje en posición incorrecta</t>
  </si>
  <si>
    <t>Problemas de circuito en la prueba final</t>
  </si>
  <si>
    <t>Componente equivocado</t>
  </si>
  <si>
    <t>Total</t>
  </si>
  <si>
    <t>ANALISIS DE PARETO</t>
  </si>
  <si>
    <t>Empresa: Corporacion Capsula</t>
  </si>
  <si>
    <t xml:space="preserve">Fecha: </t>
  </si>
  <si>
    <r>
      <rPr>
        <b/>
        <sz val="11"/>
        <rFont val="Arial"/>
        <family val="2"/>
      </rPr>
      <t>Descripcion:</t>
    </r>
    <r>
      <rPr>
        <sz val="10"/>
        <rFont val="Arial"/>
        <family val="2"/>
      </rPr>
      <t xml:space="preserve"> El análisis de Pareto permitirá clasificar los defectos según su frecuencia de ocurrencia, destacando aquellos que representan el mayor impacto en la producción. Esto facilitará enfocar los esfuerzos de mejora en las causas críticas, optimizando recursos y tiempo.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</si>
</sst>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Aptos Narrow"/>
      <family val="2"/>
      <scheme val="minor"/>
    </font>
    <font>
      <sz val="11"/>
      <color theme="1"/>
      <name val="Aptos Narrow"/>
      <family val="2"/>
      <scheme val="minor"/>
    </font>
    <font>
      <b/>
      <sz val="12"/>
      <name val="Arial"/>
      <family val="2"/>
    </font>
    <font>
      <sz val="10"/>
      <name val="Arial"/>
      <family val="2"/>
    </font>
    <font>
      <b/>
      <sz val="10"/>
      <name val="Arial"/>
      <family val="2"/>
    </font>
    <font>
      <sz val="8"/>
      <color indexed="9"/>
      <name val="Arial"/>
      <family val="2"/>
    </font>
    <font>
      <b/>
      <sz val="12"/>
      <color theme="4"/>
      <name val="Arial"/>
      <family val="2"/>
    </font>
    <font>
      <sz val="12"/>
      <color indexed="9"/>
      <name val="Arial"/>
      <family val="2"/>
    </font>
    <font>
      <b/>
      <sz val="12"/>
      <color indexed="9"/>
      <name val="Arial"/>
      <family val="2"/>
    </font>
    <font>
      <sz val="12"/>
      <color indexed="23"/>
      <name val="Arial"/>
      <family val="2"/>
    </font>
    <font>
      <sz val="10"/>
      <color rgb="FF000000"/>
      <name val="Arial"/>
      <family val="2"/>
    </font>
    <font>
      <sz val="10"/>
      <color indexed="55"/>
      <name val="Arial"/>
      <family val="2"/>
    </font>
    <font>
      <b/>
      <sz val="11"/>
      <color rgb="FF000000"/>
      <name val="Arial"/>
      <family val="2"/>
    </font>
    <font>
      <b/>
      <sz val="18"/>
      <color theme="4"/>
      <name val="Arial"/>
      <family val="2"/>
    </font>
    <font>
      <b/>
      <sz val="11"/>
      <name val="Arial"/>
      <family val="2"/>
    </font>
  </fonts>
  <fills count="8">
    <fill>
      <patternFill patternType="none"/>
    </fill>
    <fill>
      <patternFill patternType="gray125"/>
    </fill>
    <fill>
      <patternFill patternType="solid">
        <fgColor theme="4" tint="0.79998168889431442"/>
        <bgColor indexed="64"/>
      </patternFill>
    </fill>
    <fill>
      <patternFill patternType="solid">
        <fgColor theme="4"/>
        <bgColor indexed="64"/>
      </patternFill>
    </fill>
    <fill>
      <patternFill patternType="solid">
        <fgColor rgb="FF92D050"/>
        <bgColor indexed="64"/>
      </patternFill>
    </fill>
    <fill>
      <patternFill patternType="solid">
        <fgColor indexed="22"/>
        <bgColor indexed="64"/>
      </patternFill>
    </fill>
    <fill>
      <patternFill patternType="solid">
        <fgColor theme="3" tint="0.749992370372631"/>
        <bgColor indexed="64"/>
      </patternFill>
    </fill>
    <fill>
      <patternFill patternType="solid">
        <fgColor theme="2" tint="-9.9978637043366805E-2"/>
        <bgColor indexed="64"/>
      </patternFill>
    </fill>
  </fills>
  <borders count="13">
    <border>
      <left/>
      <right/>
      <top/>
      <bottom/>
      <diagonal/>
    </border>
    <border>
      <left/>
      <right/>
      <top/>
      <bottom style="thin">
        <color indexed="64"/>
      </bottom>
      <diagonal/>
    </border>
    <border>
      <left style="thin">
        <color indexed="55"/>
      </left>
      <right/>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50">
    <xf numFmtId="0" fontId="0" fillId="0" borderId="0" xfId="0"/>
    <xf numFmtId="0" fontId="7" fillId="3" borderId="1" xfId="0" applyFont="1" applyFill="1" applyBorder="1" applyAlignment="1">
      <alignment horizontal="center"/>
    </xf>
    <xf numFmtId="0" fontId="8" fillId="3" borderId="1" xfId="0" applyFont="1" applyFill="1" applyBorder="1" applyProtection="1">
      <protection locked="0"/>
    </xf>
    <xf numFmtId="0" fontId="8" fillId="3" borderId="1" xfId="0" applyFont="1" applyFill="1" applyBorder="1" applyAlignment="1" applyProtection="1">
      <alignment horizontal="center"/>
      <protection locked="0"/>
    </xf>
    <xf numFmtId="0" fontId="11" fillId="0" borderId="2" xfId="1" applyNumberFormat="1" applyFont="1" applyBorder="1" applyAlignment="1" applyProtection="1">
      <alignment horizontal="center"/>
    </xf>
    <xf numFmtId="0" fontId="11" fillId="0" borderId="0" xfId="1" applyNumberFormat="1" applyFont="1" applyBorder="1" applyAlignment="1" applyProtection="1">
      <alignment horizontal="center"/>
    </xf>
    <xf numFmtId="0" fontId="3" fillId="0" borderId="1" xfId="0" applyFont="1" applyBorder="1" applyAlignment="1">
      <alignment horizontal="center"/>
    </xf>
    <xf numFmtId="0" fontId="10" fillId="0" borderId="1" xfId="0" applyFont="1" applyBorder="1"/>
    <xf numFmtId="14" fontId="3" fillId="0" borderId="1" xfId="0" applyNumberFormat="1" applyFont="1" applyBorder="1" applyAlignment="1">
      <alignment horizontal="left"/>
    </xf>
    <xf numFmtId="0" fontId="3" fillId="7" borderId="0" xfId="0" applyFont="1" applyFill="1" applyBorder="1" applyAlignment="1" applyProtection="1">
      <alignment horizontal="left" wrapText="1"/>
      <protection locked="0"/>
    </xf>
    <xf numFmtId="0" fontId="3" fillId="7" borderId="1" xfId="0" applyFont="1" applyFill="1" applyBorder="1" applyAlignment="1" applyProtection="1">
      <alignment horizontal="left" wrapText="1"/>
      <protection locked="0"/>
    </xf>
    <xf numFmtId="0" fontId="3" fillId="0" borderId="3" xfId="0" applyFon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3" fillId="5" borderId="7" xfId="0" applyFont="1" applyFill="1" applyBorder="1" applyAlignment="1">
      <alignment horizontal="center" vertical="center"/>
    </xf>
    <xf numFmtId="0" fontId="13" fillId="5" borderId="0" xfId="0" applyFont="1" applyFill="1" applyBorder="1" applyAlignment="1">
      <alignment horizontal="center" vertical="center"/>
    </xf>
    <xf numFmtId="0" fontId="0" fillId="0" borderId="7" xfId="0" applyBorder="1" applyAlignment="1">
      <alignment horizontal="center"/>
    </xf>
    <xf numFmtId="0" fontId="0" fillId="0" borderId="0" xfId="0" applyBorder="1" applyAlignment="1">
      <alignment horizontal="center"/>
    </xf>
    <xf numFmtId="0" fontId="2" fillId="6" borderId="7" xfId="0" applyFont="1" applyFill="1" applyBorder="1" applyProtection="1">
      <protection locked="0"/>
    </xf>
    <xf numFmtId="0" fontId="3" fillId="6" borderId="0" xfId="0" applyFont="1" applyFill="1" applyBorder="1"/>
    <xf numFmtId="0" fontId="4" fillId="6" borderId="0" xfId="0" applyFont="1" applyFill="1" applyBorder="1" applyAlignment="1">
      <alignment horizontal="right"/>
    </xf>
    <xf numFmtId="0" fontId="3" fillId="6" borderId="0" xfId="0" applyFont="1" applyFill="1" applyBorder="1" applyAlignment="1">
      <alignment horizontal="left"/>
    </xf>
    <xf numFmtId="0" fontId="3" fillId="0" borderId="0" xfId="0" applyFont="1" applyBorder="1"/>
    <xf numFmtId="0" fontId="3" fillId="7" borderId="7" xfId="0" applyFont="1" applyFill="1" applyBorder="1" applyAlignment="1" applyProtection="1">
      <alignment horizontal="left" wrapText="1"/>
      <protection locked="0"/>
    </xf>
    <xf numFmtId="0" fontId="3" fillId="7" borderId="9" xfId="0" applyFont="1" applyFill="1" applyBorder="1" applyAlignment="1" applyProtection="1">
      <alignment horizontal="left" wrapText="1"/>
      <protection locked="0"/>
    </xf>
    <xf numFmtId="0" fontId="14" fillId="0" borderId="9" xfId="0" applyFont="1" applyBorder="1" applyAlignment="1" applyProtection="1">
      <alignment horizontal="left"/>
      <protection locked="0"/>
    </xf>
    <xf numFmtId="0" fontId="3" fillId="0" borderId="7" xfId="0" applyFont="1" applyBorder="1"/>
    <xf numFmtId="0" fontId="3" fillId="0" borderId="0" xfId="0" applyFont="1" applyBorder="1" applyAlignment="1">
      <alignment horizontal="center"/>
    </xf>
    <xf numFmtId="0" fontId="5" fillId="0" borderId="0" xfId="0" applyFont="1" applyBorder="1"/>
    <xf numFmtId="0" fontId="3" fillId="0" borderId="7" xfId="0" applyFont="1" applyBorder="1" applyAlignment="1">
      <alignment horizontal="center"/>
    </xf>
    <xf numFmtId="0" fontId="6" fillId="0" borderId="0" xfId="0" applyFont="1" applyBorder="1" applyAlignment="1">
      <alignment horizontal="left"/>
    </xf>
    <xf numFmtId="0" fontId="3" fillId="0" borderId="0" xfId="0" applyFont="1" applyBorder="1" applyAlignment="1">
      <alignment horizontal="left"/>
    </xf>
    <xf numFmtId="0" fontId="3" fillId="0" borderId="8" xfId="0" applyFont="1" applyBorder="1" applyAlignment="1">
      <alignment horizontal="center"/>
    </xf>
    <xf numFmtId="0" fontId="3" fillId="0" borderId="0" xfId="0" applyFont="1" applyBorder="1" applyAlignment="1">
      <alignment horizontal="right"/>
    </xf>
    <xf numFmtId="9" fontId="3" fillId="2" borderId="0" xfId="0" applyNumberFormat="1" applyFont="1" applyFill="1" applyBorder="1" applyAlignment="1" applyProtection="1">
      <alignment horizontal="center"/>
      <protection locked="0"/>
    </xf>
    <xf numFmtId="0" fontId="9" fillId="0" borderId="0" xfId="0" applyFont="1" applyBorder="1" applyAlignment="1">
      <alignment horizontal="center"/>
    </xf>
    <xf numFmtId="0" fontId="9" fillId="0" borderId="8" xfId="0" applyFont="1" applyBorder="1" applyAlignment="1">
      <alignment horizontal="center"/>
    </xf>
    <xf numFmtId="0" fontId="3" fillId="0" borderId="0" xfId="0" applyFont="1" applyBorder="1" applyAlignment="1">
      <alignment horizontal="center"/>
    </xf>
    <xf numFmtId="0" fontId="10" fillId="0" borderId="0" xfId="0" applyFont="1" applyBorder="1"/>
    <xf numFmtId="0" fontId="3" fillId="2" borderId="0" xfId="0" applyFont="1" applyFill="1" applyBorder="1" applyAlignment="1" applyProtection="1">
      <alignment horizontal="center"/>
      <protection locked="0"/>
    </xf>
    <xf numFmtId="164" fontId="3" fillId="0" borderId="0" xfId="1" applyNumberFormat="1" applyFont="1" applyBorder="1" applyAlignment="1" applyProtection="1">
      <alignment horizontal="center"/>
    </xf>
    <xf numFmtId="9" fontId="11" fillId="0" borderId="8" xfId="0" applyNumberFormat="1" applyFont="1" applyBorder="1" applyAlignment="1">
      <alignment horizontal="center"/>
    </xf>
    <xf numFmtId="0" fontId="3" fillId="0" borderId="10" xfId="0" applyFont="1" applyBorder="1" applyAlignment="1">
      <alignment horizontal="center"/>
    </xf>
    <xf numFmtId="0" fontId="3" fillId="0" borderId="11" xfId="0" applyFont="1" applyBorder="1"/>
    <xf numFmtId="0" fontId="12" fillId="0" borderId="11" xfId="0" applyFont="1" applyBorder="1" applyAlignment="1">
      <alignment horizontal="center"/>
    </xf>
    <xf numFmtId="0" fontId="4" fillId="4" borderId="11" xfId="0" applyFont="1" applyFill="1" applyBorder="1" applyAlignment="1">
      <alignment horizontal="center" vertical="center"/>
    </xf>
    <xf numFmtId="0" fontId="3" fillId="0" borderId="11" xfId="0" applyFont="1" applyBorder="1" applyAlignment="1">
      <alignment horizontal="center"/>
    </xf>
    <xf numFmtId="0" fontId="3" fillId="0" borderId="12" xfId="0" applyFont="1" applyBorder="1"/>
    <xf numFmtId="0" fontId="0" fillId="0" borderId="6" xfId="0" applyBorder="1" applyAlignment="1">
      <alignment horizontal="center"/>
    </xf>
    <xf numFmtId="0" fontId="0" fillId="0" borderId="8" xfId="0"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400">
                <a:solidFill>
                  <a:srgbClr val="FF0000"/>
                </a:solidFill>
              </a:rPr>
              <a:t>Analisis</a:t>
            </a:r>
            <a:r>
              <a:rPr lang="en-US" sz="1400" baseline="0">
                <a:solidFill>
                  <a:srgbClr val="FF0000"/>
                </a:solidFill>
              </a:rPr>
              <a:t> de </a:t>
            </a:r>
            <a:r>
              <a:rPr lang="en-US" sz="1400">
                <a:solidFill>
                  <a:srgbClr val="FF0000"/>
                </a:solidFill>
              </a:rPr>
              <a:t>Defectos</a:t>
            </a:r>
            <a:r>
              <a:rPr lang="en-US" sz="1400" baseline="0">
                <a:solidFill>
                  <a:srgbClr val="FF0000"/>
                </a:solidFill>
              </a:rPr>
              <a:t> en lineas de ensamblaje</a:t>
            </a:r>
            <a:endParaRPr lang="en-US" sz="1400">
              <a:solidFill>
                <a:srgbClr val="FF0000"/>
              </a:solidFill>
            </a:endParaRPr>
          </a:p>
        </c:rich>
      </c:tx>
      <c:layout>
        <c:manualLayout>
          <c:xMode val="edge"/>
          <c:yMode val="edge"/>
          <c:x val="0.15016060511864054"/>
          <c:y val="4.843597846972425E-2"/>
        </c:manualLayout>
      </c:layout>
      <c:overlay val="0"/>
      <c:spPr>
        <a:noFill/>
        <a:ln w="25400">
          <a:noFill/>
        </a:ln>
      </c:spPr>
    </c:title>
    <c:autoTitleDeleted val="0"/>
    <c:plotArea>
      <c:layout>
        <c:manualLayout>
          <c:layoutTarget val="inner"/>
          <c:xMode val="edge"/>
          <c:yMode val="edge"/>
          <c:x val="8.7719434870032878E-2"/>
          <c:y val="0.1029813023514311"/>
          <c:w val="0.80701880080430244"/>
          <c:h val="0.74525942491167252"/>
        </c:manualLayout>
      </c:layout>
      <c:barChart>
        <c:barDir val="col"/>
        <c:grouping val="clustered"/>
        <c:varyColors val="0"/>
        <c:ser>
          <c:idx val="1"/>
          <c:order val="0"/>
          <c:tx>
            <c:strRef>
              <c:f>[1]ParetoChart!$H$34</c:f>
              <c:strCache>
                <c:ptCount val="1"/>
                <c:pt idx="0">
                  <c:v>Vital Few</c:v>
                </c:pt>
              </c:strCache>
            </c:strRef>
          </c:tx>
          <c:spPr>
            <a:solidFill>
              <a:schemeClr val="accent1">
                <a:lumMod val="60000"/>
                <a:lumOff val="40000"/>
              </a:schemeClr>
            </a:solidFill>
            <a:ln w="25400">
              <a:noFill/>
            </a:ln>
          </c:spPr>
          <c:invertIfNegative val="0"/>
          <c:cat>
            <c:strRef>
              <c:f>[1]ParetoChart!$C$35:$C$41</c:f>
              <c:strCache>
                <c:ptCount val="7"/>
                <c:pt idx="0">
                  <c:v>Los componentes no se adhieren</c:v>
                </c:pt>
                <c:pt idx="1">
                  <c:v>Exceso de adhesivo</c:v>
                </c:pt>
                <c:pt idx="2">
                  <c:v>Transistores mal ubicados</c:v>
                </c:pt>
                <c:pt idx="3">
                  <c:v>Dimensión defectuosa de la tarjeta</c:v>
                </c:pt>
                <c:pt idx="4">
                  <c:v>Perforaciones de montaje en posición incorrecta</c:v>
                </c:pt>
                <c:pt idx="5">
                  <c:v>Problemas de circuito en la prueba final</c:v>
                </c:pt>
                <c:pt idx="6">
                  <c:v>Componente equivocado</c:v>
                </c:pt>
              </c:strCache>
            </c:strRef>
          </c:cat>
          <c:val>
            <c:numRef>
              <c:f>[1]ParetoChart!$H$35:$H$41</c:f>
              <c:numCache>
                <c:formatCode>General</c:formatCode>
                <c:ptCount val="7"/>
                <c:pt idx="0">
                  <c:v>143</c:v>
                </c:pt>
                <c:pt idx="1">
                  <c:v>71</c:v>
                </c:pt>
                <c:pt idx="2">
                  <c:v>601</c:v>
                </c:pt>
                <c:pt idx="3">
                  <c:v>146</c:v>
                </c:pt>
                <c:pt idx="4">
                  <c:v>12</c:v>
                </c:pt>
                <c:pt idx="5">
                  <c:v>90</c:v>
                </c:pt>
                <c:pt idx="6">
                  <c:v>0</c:v>
                </c:pt>
              </c:numCache>
            </c:numRef>
          </c:val>
          <c:extLst>
            <c:ext xmlns:c16="http://schemas.microsoft.com/office/drawing/2014/chart" uri="{C3380CC4-5D6E-409C-BE32-E72D297353CC}">
              <c16:uniqueId val="{00000000-5597-444B-BB35-C9CFE9FB1DB5}"/>
            </c:ext>
          </c:extLst>
        </c:ser>
        <c:ser>
          <c:idx val="0"/>
          <c:order val="1"/>
          <c:tx>
            <c:strRef>
              <c:f>[1]ParetoChart!$I$34</c:f>
              <c:strCache>
                <c:ptCount val="1"/>
                <c:pt idx="0">
                  <c:v>Useful Many</c:v>
                </c:pt>
              </c:strCache>
            </c:strRef>
          </c:tx>
          <c:spPr>
            <a:solidFill>
              <a:schemeClr val="accent1">
                <a:lumMod val="40000"/>
                <a:lumOff val="60000"/>
              </a:schemeClr>
            </a:solidFill>
            <a:ln w="25400">
              <a:noFill/>
            </a:ln>
          </c:spPr>
          <c:invertIfNegative val="0"/>
          <c:cat>
            <c:strRef>
              <c:f>[1]ParetoChart!$C$35:$C$41</c:f>
              <c:strCache>
                <c:ptCount val="7"/>
                <c:pt idx="0">
                  <c:v>Los componentes no se adhieren</c:v>
                </c:pt>
                <c:pt idx="1">
                  <c:v>Exceso de adhesivo</c:v>
                </c:pt>
                <c:pt idx="2">
                  <c:v>Transistores mal ubicados</c:v>
                </c:pt>
                <c:pt idx="3">
                  <c:v>Dimensión defectuosa de la tarjeta</c:v>
                </c:pt>
                <c:pt idx="4">
                  <c:v>Perforaciones de montaje en posición incorrecta</c:v>
                </c:pt>
                <c:pt idx="5">
                  <c:v>Problemas de circuito en la prueba final</c:v>
                </c:pt>
                <c:pt idx="6">
                  <c:v>Componente equivocado</c:v>
                </c:pt>
              </c:strCache>
            </c:strRef>
          </c:cat>
          <c:val>
            <c:numRef>
              <c:f>[1]ParetoChart!$I$35:$I$41</c:f>
              <c:numCache>
                <c:formatCode>General</c:formatCode>
                <c:ptCount val="7"/>
                <c:pt idx="0">
                  <c:v>0</c:v>
                </c:pt>
                <c:pt idx="1">
                  <c:v>0</c:v>
                </c:pt>
                <c:pt idx="2">
                  <c:v>0</c:v>
                </c:pt>
                <c:pt idx="3">
                  <c:v>0</c:v>
                </c:pt>
                <c:pt idx="4">
                  <c:v>0</c:v>
                </c:pt>
                <c:pt idx="5">
                  <c:v>0</c:v>
                </c:pt>
                <c:pt idx="6">
                  <c:v>212</c:v>
                </c:pt>
              </c:numCache>
            </c:numRef>
          </c:val>
          <c:extLst>
            <c:ext xmlns:c16="http://schemas.microsoft.com/office/drawing/2014/chart" uri="{C3380CC4-5D6E-409C-BE32-E72D297353CC}">
              <c16:uniqueId val="{00000001-5597-444B-BB35-C9CFE9FB1DB5}"/>
            </c:ext>
          </c:extLst>
        </c:ser>
        <c:ser>
          <c:idx val="4"/>
          <c:order val="4"/>
          <c:tx>
            <c:v>Labels</c:v>
          </c:tx>
          <c:spPr>
            <a:solidFill>
              <a:srgbClr val="660066"/>
            </a:solidFill>
            <a:ln w="12700">
              <a:solidFill>
                <a:srgbClr val="000000"/>
              </a:solidFill>
              <a:prstDash val="solid"/>
            </a:ln>
          </c:spPr>
          <c:invertIfNegative val="0"/>
          <c:dLbls>
            <c:spPr>
              <a:noFill/>
              <a:ln w="25400">
                <a:noFill/>
              </a:ln>
            </c:spPr>
            <c:txPr>
              <a:bodyPr rot="-5400000" vert="horz" wrap="square" lIns="38100" tIns="19050" rIns="38100" bIns="19050" anchor="ctr">
                <a:spAutoFit/>
              </a:bodyPr>
              <a:lstStyle/>
              <a:p>
                <a:pPr algn="ctr">
                  <a:defRPr sz="1000" b="0" i="0" u="none" strike="noStrike" baseline="0">
                    <a:solidFill>
                      <a:srgbClr val="000000"/>
                    </a:solidFill>
                    <a:latin typeface="Arial"/>
                    <a:ea typeface="Arial"/>
                    <a:cs typeface="Arial"/>
                  </a:defRPr>
                </a:pPr>
                <a:endParaRPr lang="es-PY"/>
              </a:p>
            </c:txPr>
            <c:dLblPos val="outEnd"/>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[1]ParetoChart!$C$35:$C$41</c:f>
              <c:strCache>
                <c:ptCount val="7"/>
                <c:pt idx="0">
                  <c:v>Los componentes no se adhieren</c:v>
                </c:pt>
                <c:pt idx="1">
                  <c:v>Exceso de adhesivo</c:v>
                </c:pt>
                <c:pt idx="2">
                  <c:v>Transistores mal ubicados</c:v>
                </c:pt>
                <c:pt idx="3">
                  <c:v>Dimensión defectuosa de la tarjeta</c:v>
                </c:pt>
                <c:pt idx="4">
                  <c:v>Perforaciones de montaje en posición incorrecta</c:v>
                </c:pt>
                <c:pt idx="5">
                  <c:v>Problemas de circuito en la prueba final</c:v>
                </c:pt>
                <c:pt idx="6">
                  <c:v>Componente equivocado</c:v>
                </c:pt>
              </c:strCache>
            </c:strRef>
          </c:cat>
          <c:val>
            <c:numRef>
              <c:f>[1]ParetoChart!$C$35:$C$41</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2-5597-444B-BB35-C9CFE9FB1DB5}"/>
            </c:ext>
          </c:extLst>
        </c:ser>
        <c:dLbls>
          <c:showLegendKey val="0"/>
          <c:showVal val="0"/>
          <c:showCatName val="0"/>
          <c:showSerName val="0"/>
          <c:showPercent val="0"/>
          <c:showBubbleSize val="0"/>
        </c:dLbls>
        <c:gapWidth val="10"/>
        <c:overlap val="100"/>
        <c:axId val="190086528"/>
        <c:axId val="190088704"/>
      </c:barChart>
      <c:lineChart>
        <c:grouping val="standard"/>
        <c:varyColors val="0"/>
        <c:ser>
          <c:idx val="2"/>
          <c:order val="2"/>
          <c:tx>
            <c:strRef>
              <c:f>[1]ParetoChart!$E$34</c:f>
              <c:strCache>
                <c:ptCount val="1"/>
                <c:pt idx="0">
                  <c:v>Acumulado %</c:v>
                </c:pt>
              </c:strCache>
            </c:strRef>
          </c:tx>
          <c:spPr>
            <a:ln w="25400">
              <a:solidFill>
                <a:srgbClr val="6B0C00"/>
              </a:solidFill>
              <a:prstDash val="solid"/>
            </a:ln>
          </c:spPr>
          <c:marker>
            <c:symbol val="diamond"/>
            <c:size val="6"/>
            <c:spPr>
              <a:solidFill>
                <a:srgbClr val="6B0C00"/>
              </a:solidFill>
              <a:ln>
                <a:solidFill>
                  <a:srgbClr val="6B0C00"/>
                </a:solidFill>
                <a:prstDash val="solid"/>
              </a:ln>
            </c:spPr>
          </c:marker>
          <c:val>
            <c:numRef>
              <c:f>[1]ParetoChart!$E$35:$E$41</c:f>
              <c:numCache>
                <c:formatCode>General</c:formatCode>
                <c:ptCount val="7"/>
                <c:pt idx="0">
                  <c:v>0.11215686274509803</c:v>
                </c:pt>
                <c:pt idx="1">
                  <c:v>0.16784313725490196</c:v>
                </c:pt>
                <c:pt idx="2">
                  <c:v>0.63921568627450975</c:v>
                </c:pt>
                <c:pt idx="3">
                  <c:v>0.75372549019607848</c:v>
                </c:pt>
                <c:pt idx="4">
                  <c:v>0.76313725490196083</c:v>
                </c:pt>
                <c:pt idx="5">
                  <c:v>0.83372549019607844</c:v>
                </c:pt>
                <c:pt idx="6">
                  <c:v>1</c:v>
                </c:pt>
              </c:numCache>
            </c:numRef>
          </c:val>
          <c:smooth val="0"/>
          <c:extLst>
            <c:ext xmlns:c16="http://schemas.microsoft.com/office/drawing/2014/chart" uri="{C3380CC4-5D6E-409C-BE32-E72D297353CC}">
              <c16:uniqueId val="{00000003-5597-444B-BB35-C9CFE9FB1DB5}"/>
            </c:ext>
          </c:extLst>
        </c:ser>
        <c:ser>
          <c:idx val="3"/>
          <c:order val="3"/>
          <c:tx>
            <c:strRef>
              <c:f>[1]ParetoChart!$J$34</c:f>
              <c:strCache>
                <c:ptCount val="1"/>
                <c:pt idx="0">
                  <c:v>Cut Off %</c:v>
                </c:pt>
              </c:strCache>
            </c:strRef>
          </c:tx>
          <c:spPr>
            <a:ln w="12700">
              <a:solidFill>
                <a:srgbClr val="6B0C00"/>
              </a:solidFill>
              <a:prstDash val="sysDash"/>
            </a:ln>
          </c:spPr>
          <c:marker>
            <c:symbol val="none"/>
          </c:marker>
          <c:val>
            <c:numRef>
              <c:f>[1]ParetoChart!$J$35:$J$41</c:f>
              <c:numCache>
                <c:formatCode>General</c:formatCode>
                <c:ptCount val="7"/>
                <c:pt idx="0">
                  <c:v>0.8</c:v>
                </c:pt>
                <c:pt idx="1">
                  <c:v>0.8</c:v>
                </c:pt>
                <c:pt idx="2">
                  <c:v>0.8</c:v>
                </c:pt>
                <c:pt idx="3">
                  <c:v>0.8</c:v>
                </c:pt>
                <c:pt idx="4">
                  <c:v>0.8</c:v>
                </c:pt>
                <c:pt idx="5">
                  <c:v>0.8</c:v>
                </c:pt>
                <c:pt idx="6">
                  <c:v>0.8</c:v>
                </c:pt>
              </c:numCache>
            </c:numRef>
          </c:val>
          <c:smooth val="0"/>
          <c:extLst>
            <c:ext xmlns:c16="http://schemas.microsoft.com/office/drawing/2014/chart" uri="{C3380CC4-5D6E-409C-BE32-E72D297353CC}">
              <c16:uniqueId val="{00000004-5597-444B-BB35-C9CFE9FB1DB5}"/>
            </c:ext>
          </c:extLst>
        </c:ser>
        <c:dLbls>
          <c:showLegendKey val="0"/>
          <c:showVal val="0"/>
          <c:showCatName val="0"/>
          <c:showSerName val="0"/>
          <c:showPercent val="0"/>
          <c:showBubbleSize val="0"/>
        </c:dLbls>
        <c:marker val="1"/>
        <c:smooth val="0"/>
        <c:axId val="190090624"/>
        <c:axId val="190092416"/>
      </c:lineChart>
      <c:catAx>
        <c:axId val="190086528"/>
        <c:scaling>
          <c:orientation val="minMax"/>
        </c:scaling>
        <c:delete val="0"/>
        <c:axPos val="b"/>
        <c:title>
          <c:tx>
            <c:strRef>
              <c:f>[1]ParetoChart!$C$34</c:f>
              <c:strCache>
                <c:ptCount val="1"/>
                <c:pt idx="0">
                  <c:v>Problemas</c:v>
                </c:pt>
              </c:strCache>
            </c:strRef>
          </c:tx>
          <c:layout>
            <c:manualLayout>
              <c:xMode val="edge"/>
              <c:yMode val="edge"/>
              <c:x val="0.43381247790270805"/>
              <c:y val="0.86179089862513403"/>
            </c:manualLayout>
          </c:layout>
          <c:overlay val="0"/>
          <c:spPr>
            <a:noFill/>
            <a:ln w="25400">
              <a:noFill/>
            </a:ln>
          </c:spPr>
          <c:txPr>
            <a:bodyPr/>
            <a:lstStyle/>
            <a:p>
              <a:pPr>
                <a:defRPr sz="1200" b="1" i="0" u="none" strike="noStrike" baseline="0">
                  <a:solidFill>
                    <a:srgbClr val="000000"/>
                  </a:solidFill>
                  <a:latin typeface="Arial"/>
                  <a:ea typeface="Arial"/>
                  <a:cs typeface="Arial"/>
                </a:defRPr>
              </a:pPr>
              <a:endParaRPr lang="es-PY"/>
            </a:p>
          </c:txPr>
        </c:title>
        <c:numFmt formatCode="General" sourceLinked="1"/>
        <c:majorTickMark val="out"/>
        <c:minorTickMark val="none"/>
        <c:tickLblPos val="none"/>
        <c:spPr>
          <a:ln w="3175">
            <a:solidFill>
              <a:srgbClr val="000000"/>
            </a:solidFill>
            <a:prstDash val="solid"/>
          </a:ln>
        </c:spPr>
        <c:crossAx val="190088704"/>
        <c:crosses val="autoZero"/>
        <c:auto val="1"/>
        <c:lblAlgn val="ctr"/>
        <c:lblOffset val="100"/>
        <c:tickMarkSkip val="1"/>
        <c:noMultiLvlLbl val="0"/>
      </c:catAx>
      <c:valAx>
        <c:axId val="190088704"/>
        <c:scaling>
          <c:orientation val="minMax"/>
        </c:scaling>
        <c:delete val="0"/>
        <c:axPos val="l"/>
        <c:title>
          <c:tx>
            <c:strRef>
              <c:f>[1]ParetoChart!$D$34</c:f>
              <c:strCache>
                <c:ptCount val="1"/>
                <c:pt idx="0">
                  <c:v>Defectos</c:v>
                </c:pt>
              </c:strCache>
            </c:strRef>
          </c:tx>
          <c:layout>
            <c:manualLayout>
              <c:xMode val="edge"/>
              <c:yMode val="edge"/>
              <c:x val="7.9744940790938985E-3"/>
              <c:y val="0.3848248666816636"/>
            </c:manualLayout>
          </c:layout>
          <c:overlay val="0"/>
          <c:spPr>
            <a:noFill/>
            <a:ln w="25400">
              <a:noFill/>
            </a:ln>
          </c:spPr>
          <c:txPr>
            <a:bodyPr/>
            <a:lstStyle/>
            <a:p>
              <a:pPr>
                <a:defRPr sz="1200" b="1" i="0" u="none" strike="noStrike" baseline="0">
                  <a:solidFill>
                    <a:srgbClr val="000000"/>
                  </a:solidFill>
                  <a:latin typeface="Arial"/>
                  <a:ea typeface="Arial"/>
                  <a:cs typeface="Arial"/>
                </a:defRPr>
              </a:pPr>
              <a:endParaRPr lang="es-PY"/>
            </a:p>
          </c:tx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s-PY"/>
          </a:p>
        </c:txPr>
        <c:crossAx val="190086528"/>
        <c:crosses val="autoZero"/>
        <c:crossBetween val="between"/>
      </c:valAx>
      <c:catAx>
        <c:axId val="190090624"/>
        <c:scaling>
          <c:orientation val="minMax"/>
        </c:scaling>
        <c:delete val="1"/>
        <c:axPos val="b"/>
        <c:majorTickMark val="out"/>
        <c:minorTickMark val="none"/>
        <c:tickLblPos val="nextTo"/>
        <c:crossAx val="190092416"/>
        <c:crosses val="autoZero"/>
        <c:auto val="1"/>
        <c:lblAlgn val="ctr"/>
        <c:lblOffset val="100"/>
        <c:noMultiLvlLbl val="0"/>
      </c:catAx>
      <c:valAx>
        <c:axId val="190092416"/>
        <c:scaling>
          <c:orientation val="minMax"/>
          <c:max val="1"/>
          <c:min val="0"/>
        </c:scaling>
        <c:delete val="0"/>
        <c:axPos val="r"/>
        <c:title>
          <c:tx>
            <c:rich>
              <a:bodyPr/>
              <a:lstStyle/>
              <a:p>
                <a:pPr>
                  <a:defRPr sz="1000" b="0" i="0" u="none" strike="noStrike" baseline="0">
                    <a:solidFill>
                      <a:srgbClr val="000000"/>
                    </a:solidFill>
                    <a:latin typeface="Arial"/>
                    <a:ea typeface="Arial"/>
                    <a:cs typeface="Arial"/>
                  </a:defRPr>
                </a:pPr>
                <a:r>
                  <a:rPr lang="en-US"/>
                  <a:t>Acumulado %</a:t>
                </a:r>
              </a:p>
            </c:rich>
          </c:tx>
          <c:layout>
            <c:manualLayout>
              <c:xMode val="edge"/>
              <c:yMode val="edge"/>
              <c:x val="0.95693928949126772"/>
              <c:y val="0.3495944211403845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s-PY"/>
          </a:p>
        </c:txPr>
        <c:crossAx val="190090624"/>
        <c:crosses val="max"/>
        <c:crossBetween val="between"/>
        <c:majorUnit val="0.2"/>
      </c:valAx>
      <c:spPr>
        <a:noFill/>
        <a:ln w="25400">
          <a:noFill/>
        </a:ln>
      </c:spPr>
    </c:plotArea>
    <c:legend>
      <c:legendPos val="r"/>
      <c:legendEntry>
        <c:idx val="2"/>
        <c:delete val="1"/>
      </c:legendEntry>
      <c:layout>
        <c:manualLayout>
          <c:xMode val="edge"/>
          <c:yMode val="edge"/>
          <c:x val="7.01755478960263E-2"/>
          <c:y val="0.93225178970769207"/>
          <c:w val="0.84051167593649689"/>
          <c:h val="5.9620753992933796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s-PY"/>
        </a:p>
      </c:txPr>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es-PY"/>
    </a:p>
  </c:txPr>
  <c:printSettings>
    <c:headerFooter alignWithMargins="0"/>
    <c:pageMargins b="1" l="0.75" r="0.75" t="1" header="0.5" footer="0.5"/>
    <c:pageSetup orientation="landscape"/>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47625</xdr:rowOff>
    </xdr:from>
    <xdr:to>
      <xdr:col>7</xdr:col>
      <xdr:colOff>581025</xdr:colOff>
      <xdr:row>28</xdr:row>
      <xdr:rowOff>30480</xdr:rowOff>
    </xdr:to>
    <xdr:graphicFrame macro="">
      <xdr:nvGraphicFramePr>
        <xdr:cNvPr id="3" name="Chart 2">
          <a:extLst>
            <a:ext uri="{FF2B5EF4-FFF2-40B4-BE49-F238E27FC236}">
              <a16:creationId xmlns:a16="http://schemas.microsoft.com/office/drawing/2014/main" id="{5BD6562B-7098-4229-8320-E1D293D17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2.xml><?xml version="1.0" encoding="utf-8"?>
<c:userShapes xmlns:c="http://schemas.openxmlformats.org/drawingml/2006/chart">
  <cdr:relSizeAnchor xmlns:cdr="http://schemas.openxmlformats.org/drawingml/2006/chartDrawing">
    <cdr:from>
      <cdr:x>0.95366</cdr:x>
      <cdr:y>0.94586</cdr:y>
    </cdr:from>
    <cdr:to>
      <cdr:x>0.95366</cdr:x>
      <cdr:y>0.94586</cdr:y>
    </cdr:to>
    <cdr:sp macro="" textlink="">
      <cdr:nvSpPr>
        <cdr:cNvPr id="2049" name="Text Box 1"/>
        <cdr:cNvSpPr txBox="1">
          <a:spLocks xmlns:a="http://schemas.openxmlformats.org/drawingml/2006/main" noChangeArrowheads="1"/>
        </cdr:cNvSpPr>
      </cdr:nvSpPr>
      <cdr:spPr bwMode="auto">
        <a:xfrm xmlns:a="http://schemas.openxmlformats.org/drawingml/2006/main">
          <a:off x="5707678" y="3336639"/>
          <a:ext cx="0" cy="0"/>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18288" tIns="18288" rIns="0" bIns="0" anchor="t" upright="1">
          <a:spAutoFit/>
        </a:bodyPr>
        <a:lstStyle xmlns:a="http://schemas.openxmlformats.org/drawingml/2006/main"/>
        <a:p xmlns:a="http://schemas.openxmlformats.org/drawingml/2006/main">
          <a:pPr algn="l" rtl="0">
            <a:defRPr sz="1000"/>
          </a:pPr>
          <a:r>
            <a:rPr lang="en-US" sz="600" b="0" i="0" u="none" strike="noStrike" baseline="0">
              <a:solidFill>
                <a:srgbClr val="FFFFFF"/>
              </a:solidFill>
              <a:latin typeface="Arial"/>
              <a:cs typeface="Arial"/>
            </a:rPr>
            <a:t>[42]</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SUS\Downloads\pareto-chart.xlsx" TargetMode="External"/><Relationship Id="rId1" Type="http://schemas.openxmlformats.org/officeDocument/2006/relationships/externalLinkPath" Target="/Users/ASUS/Downloads/pareto-cha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etoChart"/>
      <sheetName val="©"/>
    </sheetNames>
    <sheetDataSet>
      <sheetData sheetId="0">
        <row r="34">
          <cell r="C34" t="str">
            <v>Problemas</v>
          </cell>
          <cell r="D34" t="str">
            <v>Defectos</v>
          </cell>
          <cell r="E34" t="str">
            <v>Acumulado %</v>
          </cell>
          <cell r="H34" t="str">
            <v>Vital Few</v>
          </cell>
          <cell r="I34" t="str">
            <v>Useful Many</v>
          </cell>
          <cell r="J34" t="str">
            <v>Cut Off %</v>
          </cell>
        </row>
        <row r="35">
          <cell r="C35" t="str">
            <v>Los componentes no se adhieren</v>
          </cell>
          <cell r="E35">
            <v>0.11215686274509803</v>
          </cell>
          <cell r="H35">
            <v>143</v>
          </cell>
          <cell r="I35" t="str">
            <v/>
          </cell>
          <cell r="J35">
            <v>0.8</v>
          </cell>
        </row>
        <row r="36">
          <cell r="C36" t="str">
            <v>Exceso de adhesivo</v>
          </cell>
          <cell r="E36">
            <v>0.16784313725490196</v>
          </cell>
          <cell r="H36">
            <v>71</v>
          </cell>
          <cell r="I36" t="str">
            <v/>
          </cell>
          <cell r="J36">
            <v>0.8</v>
          </cell>
        </row>
        <row r="37">
          <cell r="C37" t="str">
            <v>Transistores mal ubicados</v>
          </cell>
          <cell r="E37">
            <v>0.63921568627450975</v>
          </cell>
          <cell r="H37">
            <v>601</v>
          </cell>
          <cell r="I37" t="str">
            <v/>
          </cell>
          <cell r="J37">
            <v>0.8</v>
          </cell>
        </row>
        <row r="38">
          <cell r="C38" t="str">
            <v>Dimensión defectuosa de la tarjeta</v>
          </cell>
          <cell r="E38">
            <v>0.75372549019607848</v>
          </cell>
          <cell r="H38">
            <v>146</v>
          </cell>
          <cell r="I38" t="str">
            <v/>
          </cell>
          <cell r="J38">
            <v>0.8</v>
          </cell>
        </row>
        <row r="39">
          <cell r="C39" t="str">
            <v>Perforaciones de montaje en posición incorrecta</v>
          </cell>
          <cell r="E39">
            <v>0.76313725490196083</v>
          </cell>
          <cell r="H39">
            <v>12</v>
          </cell>
          <cell r="I39" t="str">
            <v/>
          </cell>
          <cell r="J39">
            <v>0.8</v>
          </cell>
        </row>
        <row r="40">
          <cell r="C40" t="str">
            <v>Problemas de circuito en la prueba final</v>
          </cell>
          <cell r="E40">
            <v>0.83372549019607844</v>
          </cell>
          <cell r="H40">
            <v>90</v>
          </cell>
          <cell r="I40" t="str">
            <v/>
          </cell>
          <cell r="J40">
            <v>0.8</v>
          </cell>
        </row>
        <row r="41">
          <cell r="C41" t="str">
            <v>Componente equivocado</v>
          </cell>
          <cell r="E41">
            <v>1</v>
          </cell>
          <cell r="H41" t="str">
            <v/>
          </cell>
          <cell r="I41">
            <v>212</v>
          </cell>
          <cell r="J41">
            <v>0.8</v>
          </cell>
        </row>
      </sheetData>
      <sheetData sheetId="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CAE0F-EBE6-4D38-869C-C2D54B42A089}">
  <dimension ref="A1:J43"/>
  <sheetViews>
    <sheetView tabSelected="1" topLeftCell="A3" workbookViewId="0">
      <selection activeCell="L14" sqref="L14"/>
    </sheetView>
  </sheetViews>
  <sheetFormatPr baseColWidth="10" defaultRowHeight="14.4" x14ac:dyDescent="0.3"/>
  <sheetData>
    <row r="1" spans="1:10" x14ac:dyDescent="0.3">
      <c r="A1" s="12"/>
      <c r="B1" s="13"/>
      <c r="C1" s="13"/>
      <c r="D1" s="13"/>
      <c r="E1" s="13"/>
      <c r="F1" s="13"/>
      <c r="G1" s="13"/>
      <c r="H1" s="13"/>
      <c r="I1" s="13"/>
      <c r="J1" s="48"/>
    </row>
    <row r="2" spans="1:10" ht="22.8" x14ac:dyDescent="0.3">
      <c r="A2" s="14" t="s">
        <v>17</v>
      </c>
      <c r="B2" s="15"/>
      <c r="C2" s="15"/>
      <c r="D2" s="15"/>
      <c r="E2" s="15"/>
      <c r="F2" s="15"/>
      <c r="G2" s="15"/>
      <c r="H2" s="15"/>
      <c r="I2" s="17"/>
      <c r="J2" s="49"/>
    </row>
    <row r="3" spans="1:10" x14ac:dyDescent="0.3">
      <c r="A3" s="16"/>
      <c r="B3" s="17"/>
      <c r="C3" s="17"/>
      <c r="D3" s="17"/>
      <c r="E3" s="17"/>
      <c r="F3" s="17"/>
      <c r="G3" s="17"/>
      <c r="H3" s="17"/>
      <c r="I3" s="17"/>
      <c r="J3" s="49"/>
    </row>
    <row r="4" spans="1:10" ht="15.6" x14ac:dyDescent="0.3">
      <c r="A4" s="18" t="s">
        <v>18</v>
      </c>
      <c r="B4" s="19"/>
      <c r="C4" s="20"/>
      <c r="D4" s="21"/>
      <c r="E4" s="21"/>
      <c r="F4" s="19"/>
      <c r="G4" s="19"/>
      <c r="H4" s="19"/>
      <c r="I4" s="17"/>
      <c r="J4" s="49"/>
    </row>
    <row r="5" spans="1:10" ht="14.4" customHeight="1" x14ac:dyDescent="0.3">
      <c r="A5" s="23" t="s">
        <v>20</v>
      </c>
      <c r="B5" s="9"/>
      <c r="C5" s="9"/>
      <c r="D5" s="9"/>
      <c r="E5" s="9"/>
      <c r="F5" s="9"/>
      <c r="G5" s="9"/>
      <c r="H5" s="9"/>
      <c r="I5" s="17"/>
      <c r="J5" s="49"/>
    </row>
    <row r="6" spans="1:10" x14ac:dyDescent="0.3">
      <c r="A6" s="23"/>
      <c r="B6" s="9"/>
      <c r="C6" s="9"/>
      <c r="D6" s="9"/>
      <c r="E6" s="9"/>
      <c r="F6" s="9"/>
      <c r="G6" s="9"/>
      <c r="H6" s="9"/>
      <c r="I6" s="17"/>
      <c r="J6" s="49"/>
    </row>
    <row r="7" spans="1:10" x14ac:dyDescent="0.3">
      <c r="A7" s="24"/>
      <c r="B7" s="10"/>
      <c r="C7" s="10"/>
      <c r="D7" s="10"/>
      <c r="E7" s="10"/>
      <c r="F7" s="10"/>
      <c r="G7" s="10"/>
      <c r="H7" s="10"/>
      <c r="I7" s="17"/>
      <c r="J7" s="49"/>
    </row>
    <row r="8" spans="1:10" x14ac:dyDescent="0.3">
      <c r="A8" s="25" t="s">
        <v>19</v>
      </c>
      <c r="B8" s="8">
        <v>45211</v>
      </c>
      <c r="C8" s="8"/>
      <c r="D8" s="8"/>
      <c r="E8" s="8"/>
      <c r="F8" s="8"/>
      <c r="G8" s="8"/>
      <c r="H8" s="8"/>
      <c r="I8" s="17"/>
      <c r="J8" s="49"/>
    </row>
    <row r="9" spans="1:10" x14ac:dyDescent="0.3">
      <c r="A9" s="26"/>
      <c r="B9" s="22"/>
      <c r="C9" s="22"/>
      <c r="D9" s="22"/>
      <c r="E9" s="22"/>
      <c r="F9" s="22"/>
      <c r="G9" s="22"/>
      <c r="H9" s="11"/>
      <c r="I9" s="17"/>
      <c r="J9" s="49"/>
    </row>
    <row r="10" spans="1:10" x14ac:dyDescent="0.3">
      <c r="A10" s="26"/>
      <c r="B10" s="22"/>
      <c r="C10" s="22"/>
      <c r="D10" s="22"/>
      <c r="E10" s="22"/>
      <c r="F10" s="22"/>
      <c r="G10" s="22"/>
      <c r="H10" s="27"/>
      <c r="I10" s="17"/>
      <c r="J10" s="49"/>
    </row>
    <row r="11" spans="1:10" x14ac:dyDescent="0.3">
      <c r="A11" s="26"/>
      <c r="B11" s="22"/>
      <c r="C11" s="22"/>
      <c r="D11" s="22"/>
      <c r="E11" s="22"/>
      <c r="F11" s="22"/>
      <c r="G11" s="22"/>
      <c r="H11" s="27"/>
      <c r="I11" s="17"/>
      <c r="J11" s="49"/>
    </row>
    <row r="12" spans="1:10" x14ac:dyDescent="0.3">
      <c r="A12" s="26"/>
      <c r="B12" s="22"/>
      <c r="C12" s="22"/>
      <c r="D12" s="22"/>
      <c r="E12" s="22"/>
      <c r="F12" s="22"/>
      <c r="G12" s="22"/>
      <c r="H12" s="27"/>
      <c r="I12" s="17"/>
      <c r="J12" s="49"/>
    </row>
    <row r="13" spans="1:10" x14ac:dyDescent="0.3">
      <c r="A13" s="26"/>
      <c r="B13" s="22"/>
      <c r="C13" s="22"/>
      <c r="D13" s="22"/>
      <c r="E13" s="22"/>
      <c r="F13" s="22"/>
      <c r="G13" s="22"/>
      <c r="H13" s="27"/>
      <c r="I13" s="17"/>
      <c r="J13" s="49"/>
    </row>
    <row r="14" spans="1:10" x14ac:dyDescent="0.3">
      <c r="A14" s="26"/>
      <c r="B14" s="22"/>
      <c r="C14" s="22"/>
      <c r="D14" s="22"/>
      <c r="E14" s="22"/>
      <c r="F14" s="22"/>
      <c r="G14" s="22"/>
      <c r="H14" s="27"/>
      <c r="I14" s="17"/>
      <c r="J14" s="49"/>
    </row>
    <row r="15" spans="1:10" x14ac:dyDescent="0.3">
      <c r="A15" s="26"/>
      <c r="B15" s="22"/>
      <c r="C15" s="22"/>
      <c r="D15" s="22"/>
      <c r="E15" s="22"/>
      <c r="F15" s="22"/>
      <c r="G15" s="22"/>
      <c r="H15" s="27"/>
      <c r="I15" s="17"/>
      <c r="J15" s="49"/>
    </row>
    <row r="16" spans="1:10" x14ac:dyDescent="0.3">
      <c r="A16" s="26"/>
      <c r="B16" s="22"/>
      <c r="C16" s="22"/>
      <c r="D16" s="22"/>
      <c r="E16" s="22"/>
      <c r="F16" s="22"/>
      <c r="G16" s="22"/>
      <c r="H16" s="27"/>
      <c r="I16" s="17"/>
      <c r="J16" s="49"/>
    </row>
    <row r="17" spans="1:10" x14ac:dyDescent="0.3">
      <c r="A17" s="26"/>
      <c r="B17" s="22"/>
      <c r="C17" s="22"/>
      <c r="D17" s="22"/>
      <c r="E17" s="22"/>
      <c r="F17" s="22"/>
      <c r="G17" s="22"/>
      <c r="H17" s="27"/>
      <c r="I17" s="17"/>
      <c r="J17" s="49"/>
    </row>
    <row r="18" spans="1:10" x14ac:dyDescent="0.3">
      <c r="A18" s="26"/>
      <c r="B18" s="22"/>
      <c r="C18" s="22"/>
      <c r="D18" s="22"/>
      <c r="E18" s="22"/>
      <c r="F18" s="22"/>
      <c r="G18" s="22"/>
      <c r="H18" s="27"/>
      <c r="I18" s="17"/>
      <c r="J18" s="49"/>
    </row>
    <row r="19" spans="1:10" x14ac:dyDescent="0.3">
      <c r="A19" s="26"/>
      <c r="B19" s="22"/>
      <c r="C19" s="22"/>
      <c r="D19" s="22"/>
      <c r="E19" s="22"/>
      <c r="F19" s="22"/>
      <c r="G19" s="22"/>
      <c r="H19" s="27"/>
      <c r="I19" s="17"/>
      <c r="J19" s="49"/>
    </row>
    <row r="20" spans="1:10" x14ac:dyDescent="0.3">
      <c r="A20" s="26"/>
      <c r="B20" s="22"/>
      <c r="C20" s="22"/>
      <c r="D20" s="22"/>
      <c r="E20" s="22"/>
      <c r="F20" s="22"/>
      <c r="G20" s="22"/>
      <c r="H20" s="27"/>
      <c r="I20" s="17"/>
      <c r="J20" s="49"/>
    </row>
    <row r="21" spans="1:10" x14ac:dyDescent="0.3">
      <c r="A21" s="26"/>
      <c r="B21" s="22"/>
      <c r="C21" s="22"/>
      <c r="D21" s="22"/>
      <c r="E21" s="22"/>
      <c r="F21" s="22"/>
      <c r="G21" s="22"/>
      <c r="H21" s="27"/>
      <c r="I21" s="17"/>
      <c r="J21" s="49"/>
    </row>
    <row r="22" spans="1:10" x14ac:dyDescent="0.3">
      <c r="A22" s="26"/>
      <c r="B22" s="22"/>
      <c r="C22" s="22"/>
      <c r="D22" s="22"/>
      <c r="E22" s="22"/>
      <c r="F22" s="22"/>
      <c r="G22" s="22"/>
      <c r="H22" s="27"/>
      <c r="I22" s="17"/>
      <c r="J22" s="49"/>
    </row>
    <row r="23" spans="1:10" x14ac:dyDescent="0.3">
      <c r="A23" s="26"/>
      <c r="B23" s="22"/>
      <c r="C23" s="22"/>
      <c r="D23" s="22"/>
      <c r="E23" s="22"/>
      <c r="F23" s="22"/>
      <c r="G23" s="22"/>
      <c r="H23" s="27"/>
      <c r="I23" s="17"/>
      <c r="J23" s="49"/>
    </row>
    <row r="24" spans="1:10" x14ac:dyDescent="0.3">
      <c r="A24" s="26"/>
      <c r="B24" s="22"/>
      <c r="C24" s="22"/>
      <c r="D24" s="22"/>
      <c r="E24" s="22"/>
      <c r="F24" s="22"/>
      <c r="G24" s="22"/>
      <c r="H24" s="27"/>
      <c r="I24" s="17"/>
      <c r="J24" s="49"/>
    </row>
    <row r="25" spans="1:10" x14ac:dyDescent="0.3">
      <c r="A25" s="26"/>
      <c r="B25" s="22"/>
      <c r="C25" s="22"/>
      <c r="D25" s="22"/>
      <c r="E25" s="22"/>
      <c r="F25" s="22"/>
      <c r="G25" s="22"/>
      <c r="H25" s="27"/>
      <c r="I25" s="17"/>
      <c r="J25" s="49"/>
    </row>
    <row r="26" spans="1:10" x14ac:dyDescent="0.3">
      <c r="A26" s="26"/>
      <c r="B26" s="28" t="s">
        <v>0</v>
      </c>
      <c r="C26" s="22"/>
      <c r="D26" s="22"/>
      <c r="E26" s="22"/>
      <c r="F26" s="22"/>
      <c r="G26" s="22"/>
      <c r="H26" s="27"/>
      <c r="I26" s="17"/>
      <c r="J26" s="49"/>
    </row>
    <row r="27" spans="1:10" x14ac:dyDescent="0.3">
      <c r="A27" s="26"/>
      <c r="B27" s="22"/>
      <c r="C27" s="22"/>
      <c r="D27" s="22"/>
      <c r="E27" s="22"/>
      <c r="F27" s="22"/>
      <c r="G27" s="22"/>
      <c r="H27" s="27"/>
      <c r="I27" s="17"/>
      <c r="J27" s="49"/>
    </row>
    <row r="28" spans="1:10" x14ac:dyDescent="0.3">
      <c r="A28" s="26"/>
      <c r="B28" s="22"/>
      <c r="C28" s="22"/>
      <c r="D28" s="22"/>
      <c r="E28" s="22"/>
      <c r="F28" s="22"/>
      <c r="G28" s="22"/>
      <c r="H28" s="27"/>
      <c r="I28" s="17"/>
      <c r="J28" s="49"/>
    </row>
    <row r="29" spans="1:10" x14ac:dyDescent="0.3">
      <c r="A29" s="29"/>
      <c r="B29" s="27"/>
      <c r="C29" s="27"/>
      <c r="D29" s="27"/>
      <c r="E29" s="27"/>
      <c r="F29" s="27"/>
      <c r="G29" s="27"/>
      <c r="H29" s="27"/>
      <c r="I29" s="17"/>
      <c r="J29" s="49"/>
    </row>
    <row r="30" spans="1:10" x14ac:dyDescent="0.3">
      <c r="A30" s="29"/>
      <c r="B30" s="27"/>
      <c r="C30" s="27"/>
      <c r="D30" s="27"/>
      <c r="E30" s="27"/>
      <c r="F30" s="27"/>
      <c r="G30" s="27"/>
      <c r="H30" s="27"/>
      <c r="I30" s="17"/>
      <c r="J30" s="49"/>
    </row>
    <row r="31" spans="1:10" ht="15.6" x14ac:dyDescent="0.3">
      <c r="A31" s="29"/>
      <c r="B31" s="30" t="str">
        <f ca="1">"Los primeros "&amp;COUNT(H36:H42)&amp;" "&amp;C35&amp;" cubren "&amp;TEXT(OFFSET(E35,COUNT(H36:H42),0,1,1),"0,??%")&amp;" del Total "&amp;D35</f>
        <v>Los primeros 0 Problemas cubren Acumulado % del Total Defectos</v>
      </c>
      <c r="C31" s="31"/>
      <c r="D31" s="22"/>
      <c r="E31" s="22"/>
      <c r="F31" s="22"/>
      <c r="G31" s="22"/>
      <c r="H31" s="22"/>
      <c r="I31" s="17"/>
      <c r="J31" s="49"/>
    </row>
    <row r="32" spans="1:10" x14ac:dyDescent="0.3">
      <c r="A32" s="29"/>
      <c r="B32" s="27"/>
      <c r="C32" s="27"/>
      <c r="D32" s="27"/>
      <c r="E32" s="27"/>
      <c r="F32" s="27"/>
      <c r="G32" s="27"/>
      <c r="H32" s="27"/>
      <c r="I32" s="27"/>
      <c r="J32" s="32"/>
    </row>
    <row r="33" spans="1:10" x14ac:dyDescent="0.3">
      <c r="A33" s="29"/>
      <c r="B33" s="27"/>
      <c r="C33" s="27"/>
      <c r="D33" s="27"/>
      <c r="E33" s="27"/>
      <c r="F33" s="27"/>
      <c r="G33" s="27"/>
      <c r="H33" s="27"/>
      <c r="I33" s="27"/>
      <c r="J33" s="32"/>
    </row>
    <row r="34" spans="1:10" x14ac:dyDescent="0.3">
      <c r="A34" s="29"/>
      <c r="B34" s="22"/>
      <c r="C34" s="22"/>
      <c r="D34" s="33" t="s">
        <v>1</v>
      </c>
      <c r="E34" s="34">
        <v>0.8</v>
      </c>
      <c r="F34" s="27"/>
      <c r="G34" s="27"/>
      <c r="H34" s="27"/>
      <c r="I34" s="27"/>
      <c r="J34" s="32"/>
    </row>
    <row r="35" spans="1:10" ht="15.6" x14ac:dyDescent="0.3">
      <c r="A35" s="29"/>
      <c r="B35" s="1" t="s">
        <v>2</v>
      </c>
      <c r="C35" s="2" t="s">
        <v>3</v>
      </c>
      <c r="D35" s="3" t="s">
        <v>4</v>
      </c>
      <c r="E35" s="1" t="s">
        <v>5</v>
      </c>
      <c r="F35" s="27"/>
      <c r="G35" s="27"/>
      <c r="H35" s="35" t="s">
        <v>6</v>
      </c>
      <c r="I35" s="35" t="s">
        <v>7</v>
      </c>
      <c r="J35" s="36" t="s">
        <v>8</v>
      </c>
    </row>
    <row r="36" spans="1:10" x14ac:dyDescent="0.3">
      <c r="A36" s="29"/>
      <c r="B36" s="37">
        <f>ROW(B36)-ROW($B$34)</f>
        <v>2</v>
      </c>
      <c r="C36" s="38" t="s">
        <v>9</v>
      </c>
      <c r="D36" s="39">
        <v>143</v>
      </c>
      <c r="E36" s="40">
        <f>SUM(D$35:D36)/SUM($D$35:$D$41)</f>
        <v>0.13452492944496708</v>
      </c>
      <c r="F36" s="27"/>
      <c r="G36" s="27"/>
      <c r="H36" s="4" t="str">
        <f ca="1">IF(OR(B36=1,OFFSET($E$34,B36-1,0,1,1)&lt;=$E$33),OFFSET($D$34,B36,0,1,1),"")</f>
        <v/>
      </c>
      <c r="I36" s="5">
        <f ca="1">IF(H36="",OFFSET($D$34,B36,0,1,1),"")</f>
        <v>143</v>
      </c>
      <c r="J36" s="41">
        <f>$E$33</f>
        <v>0</v>
      </c>
    </row>
    <row r="37" spans="1:10" x14ac:dyDescent="0.3">
      <c r="A37" s="29"/>
      <c r="B37" s="37">
        <f>ROW(B37)-ROW($B$34)</f>
        <v>3</v>
      </c>
      <c r="C37" s="38" t="s">
        <v>10</v>
      </c>
      <c r="D37" s="39">
        <v>71</v>
      </c>
      <c r="E37" s="40">
        <f>SUM(D$35:D37)/SUM($D$35:$D$41)</f>
        <v>0.2013170272812794</v>
      </c>
      <c r="F37" s="27"/>
      <c r="G37" s="27"/>
      <c r="H37" s="4" t="str">
        <f ca="1">IF(OR(B37=1,OFFSET($E$34,B37-1,0,1,1)&lt;=$E$33),OFFSET($D$34,B37,0,1,1),"")</f>
        <v/>
      </c>
      <c r="I37" s="5">
        <f ca="1">IF(H37="",OFFSET($D$34,B37,0,1,1),"")</f>
        <v>71</v>
      </c>
      <c r="J37" s="41">
        <f>$E$33</f>
        <v>0</v>
      </c>
    </row>
    <row r="38" spans="1:10" x14ac:dyDescent="0.3">
      <c r="A38" s="29"/>
      <c r="B38" s="37">
        <f>ROW(B38)-ROW($B$34)</f>
        <v>4</v>
      </c>
      <c r="C38" s="38" t="s">
        <v>11</v>
      </c>
      <c r="D38" s="39">
        <v>601</v>
      </c>
      <c r="E38" s="40">
        <f>SUM(D$35:D38)/SUM($D$35:$D$41)</f>
        <v>0.76669802445907809</v>
      </c>
      <c r="F38" s="27"/>
      <c r="G38" s="27"/>
      <c r="H38" s="4" t="str">
        <f ca="1">IF(OR(B38=1,OFFSET($E$34,B38-1,0,1,1)&lt;=$E$33),OFFSET($D$34,B38,0,1,1),"")</f>
        <v/>
      </c>
      <c r="I38" s="5">
        <f ca="1">IF(H38="",OFFSET($D$34,B38,0,1,1),"")</f>
        <v>601</v>
      </c>
      <c r="J38" s="41">
        <f>$E$33</f>
        <v>0</v>
      </c>
    </row>
    <row r="39" spans="1:10" x14ac:dyDescent="0.3">
      <c r="A39" s="29"/>
      <c r="B39" s="37">
        <f>ROW(B39)-ROW($B$34)</f>
        <v>5</v>
      </c>
      <c r="C39" s="38" t="s">
        <v>12</v>
      </c>
      <c r="D39" s="39">
        <v>146</v>
      </c>
      <c r="E39" s="40">
        <f>SUM(D$35:D39)/SUM($D$35:$D$41)</f>
        <v>0.90404515522107243</v>
      </c>
      <c r="F39" s="27"/>
      <c r="G39" s="27"/>
      <c r="H39" s="4" t="str">
        <f ca="1">IF(OR(B39=1,OFFSET($E$34,B39-1,0,1,1)&lt;=$E$33),OFFSET($D$34,B39,0,1,1),"")</f>
        <v/>
      </c>
      <c r="I39" s="5">
        <f ca="1">IF(H39="",OFFSET($D$34,B39,0,1,1),"")</f>
        <v>146</v>
      </c>
      <c r="J39" s="41">
        <f>$E$33</f>
        <v>0</v>
      </c>
    </row>
    <row r="40" spans="1:10" x14ac:dyDescent="0.3">
      <c r="A40" s="29"/>
      <c r="B40" s="37">
        <f>ROW(B40)-ROW($B$34)</f>
        <v>6</v>
      </c>
      <c r="C40" s="38" t="s">
        <v>13</v>
      </c>
      <c r="D40" s="39">
        <v>12</v>
      </c>
      <c r="E40" s="40">
        <f>SUM(D$35:D40)/SUM($D$35:$D$41)</f>
        <v>0.91533396048918159</v>
      </c>
      <c r="F40" s="27"/>
      <c r="G40" s="27"/>
      <c r="H40" s="4" t="str">
        <f ca="1">IF(OR(B40=1,OFFSET($E$34,B40-1,0,1,1)&lt;=$E$33),OFFSET($D$34,B40,0,1,1),"")</f>
        <v/>
      </c>
      <c r="I40" s="5">
        <f ca="1">IF(H40="",OFFSET($D$34,B40,0,1,1),"")</f>
        <v>12</v>
      </c>
      <c r="J40" s="41">
        <f>$E$33</f>
        <v>0</v>
      </c>
    </row>
    <row r="41" spans="1:10" x14ac:dyDescent="0.3">
      <c r="A41" s="29"/>
      <c r="B41" s="37">
        <f>ROW(B41)-ROW($B$34)</f>
        <v>7</v>
      </c>
      <c r="C41" s="38" t="s">
        <v>14</v>
      </c>
      <c r="D41" s="39">
        <v>90</v>
      </c>
      <c r="E41" s="40">
        <f>SUM(D$35:D41)/SUM($D$35:$D$41)</f>
        <v>1</v>
      </c>
      <c r="F41" s="27"/>
      <c r="G41" s="27"/>
      <c r="H41" s="4" t="str">
        <f ca="1">IF(OR(B41=1,OFFSET($E$34,B41-1,0,1,1)&lt;=$E$33),OFFSET($D$34,B41,0,1,1),"")</f>
        <v/>
      </c>
      <c r="I41" s="5">
        <f ca="1">IF(H41="",OFFSET($D$34,B41,0,1,1),"")</f>
        <v>90</v>
      </c>
      <c r="J41" s="41">
        <f>$E$33</f>
        <v>0</v>
      </c>
    </row>
    <row r="42" spans="1:10" x14ac:dyDescent="0.3">
      <c r="A42" s="29"/>
      <c r="B42" s="6">
        <f>ROW(B42)-ROW($B$34)</f>
        <v>8</v>
      </c>
      <c r="C42" s="7" t="s">
        <v>15</v>
      </c>
      <c r="D42" s="39">
        <v>212</v>
      </c>
      <c r="E42" s="40">
        <f>SUM(D$35:D42)/SUM($D$35:$D$41)</f>
        <v>1.1994355597365944</v>
      </c>
      <c r="F42" s="27"/>
      <c r="G42" s="27"/>
      <c r="H42" s="4" t="str">
        <f ca="1">IF(OR(B42=1,OFFSET($E$34,B42-1,0,1,1)&lt;=$E$33),OFFSET($D$34,B42,0,1,1),"")</f>
        <v/>
      </c>
      <c r="I42" s="5">
        <f ca="1">IF(H42="",OFFSET($D$34,B42,0,1,1),"")</f>
        <v>212</v>
      </c>
      <c r="J42" s="41">
        <f>$E$33</f>
        <v>0</v>
      </c>
    </row>
    <row r="43" spans="1:10" ht="15" thickBot="1" x14ac:dyDescent="0.35">
      <c r="A43" s="42"/>
      <c r="B43" s="43"/>
      <c r="C43" s="44" t="s">
        <v>16</v>
      </c>
      <c r="D43" s="45">
        <f>+SUM(D36:D42)</f>
        <v>1275</v>
      </c>
      <c r="E43" s="43"/>
      <c r="F43" s="46"/>
      <c r="G43" s="46"/>
      <c r="H43" s="43"/>
      <c r="I43" s="43"/>
      <c r="J43" s="47"/>
    </row>
  </sheetData>
  <mergeCells count="12">
    <mergeCell ref="A29:A43"/>
    <mergeCell ref="B29:H30"/>
    <mergeCell ref="H9:H28"/>
    <mergeCell ref="F32:G43"/>
    <mergeCell ref="H32:J34"/>
    <mergeCell ref="B32:E33"/>
    <mergeCell ref="I1:J31"/>
    <mergeCell ref="A5:H7"/>
    <mergeCell ref="A2:H2"/>
    <mergeCell ref="B8:H8"/>
    <mergeCell ref="A3:H3"/>
    <mergeCell ref="A1:H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 Escobar</dc:creator>
  <cp:lastModifiedBy>Nelson Escobar</cp:lastModifiedBy>
  <dcterms:created xsi:type="dcterms:W3CDTF">2025-10-26T18:41:22Z</dcterms:created>
  <dcterms:modified xsi:type="dcterms:W3CDTF">2025-10-26T19:11:33Z</dcterms:modified>
</cp:coreProperties>
</file>