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Documents\"/>
    </mc:Choice>
  </mc:AlternateContent>
  <xr:revisionPtr revIDLastSave="0" documentId="13_ncr:1_{A8E9D484-C557-40CB-8530-7AA1A26FEC3C}" xr6:coauthVersionLast="47" xr6:coauthVersionMax="47" xr10:uidLastSave="{00000000-0000-0000-0000-000000000000}"/>
  <bookViews>
    <workbookView xWindow="-108" yWindow="-108" windowWidth="23256" windowHeight="12456" xr2:uid="{D9B97CE2-FA38-4294-82D2-71EEF9D62D0D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4" i="1" s="1"/>
  <c r="G20" i="1"/>
  <c r="G19" i="1"/>
  <c r="G18" i="1"/>
  <c r="G17" i="1"/>
  <c r="G15" i="1"/>
  <c r="G14" i="1"/>
  <c r="G13" i="1"/>
  <c r="G12" i="1"/>
  <c r="G10" i="1"/>
  <c r="G9" i="1"/>
  <c r="G8" i="1"/>
  <c r="G7" i="1"/>
  <c r="J4" i="1" l="1"/>
  <c r="I3" i="1"/>
  <c r="I5" i="1"/>
  <c r="K4" i="1" l="1"/>
  <c r="J5" i="1"/>
  <c r="L4" i="1" l="1"/>
  <c r="K5" i="1"/>
  <c r="M4" i="1" l="1"/>
  <c r="L5" i="1"/>
  <c r="M5" i="1" l="1"/>
  <c r="N4" i="1"/>
  <c r="N5" i="1" l="1"/>
  <c r="O4" i="1"/>
  <c r="O3" i="1" l="1"/>
  <c r="O5" i="1"/>
  <c r="P4" i="1"/>
  <c r="P5" i="1" l="1"/>
  <c r="Q4" i="1"/>
  <c r="R4" i="1" l="1"/>
  <c r="Q5" i="1"/>
  <c r="S4" i="1" l="1"/>
  <c r="R5" i="1"/>
  <c r="T4" i="1" l="1"/>
  <c r="S5" i="1"/>
  <c r="U4" i="1" l="1"/>
  <c r="T5" i="1"/>
  <c r="V4" i="1" l="1"/>
  <c r="U5" i="1"/>
  <c r="U3" i="1"/>
  <c r="W4" i="1" l="1"/>
  <c r="V5" i="1"/>
  <c r="W5" i="1" l="1"/>
  <c r="X4" i="1"/>
  <c r="Y4" i="1" l="1"/>
  <c r="X5" i="1"/>
  <c r="Z4" i="1" l="1"/>
  <c r="Y5" i="1"/>
  <c r="AA4" i="1" l="1"/>
  <c r="Z5" i="1"/>
  <c r="AB4" i="1" l="1"/>
  <c r="AA3" i="1"/>
  <c r="AA5" i="1"/>
  <c r="AC4" i="1" l="1"/>
  <c r="AB5" i="1"/>
  <c r="AD4" i="1" l="1"/>
  <c r="AC5" i="1"/>
  <c r="AE4" i="1" l="1"/>
  <c r="AD5" i="1"/>
  <c r="AF4" i="1" l="1"/>
  <c r="AE5" i="1"/>
  <c r="AG4" i="1" l="1"/>
  <c r="AF5" i="1"/>
  <c r="AH4" i="1" l="1"/>
  <c r="AG3" i="1"/>
  <c r="AG5" i="1"/>
  <c r="AI4" i="1" l="1"/>
  <c r="AH5" i="1"/>
  <c r="AI5" i="1" l="1"/>
  <c r="AJ4" i="1"/>
  <c r="AK4" i="1" l="1"/>
  <c r="AJ5" i="1"/>
  <c r="AL4" i="1" l="1"/>
  <c r="AL5" i="1" s="1"/>
  <c r="AK5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<sst xmlns="http://schemas.openxmlformats.org/spreadsheetml/2006/main" count="49" uniqueCount="33">
  <si>
    <t>Fecha de Inicio del Proyecto</t>
  </si>
  <si>
    <t>Descripcion</t>
  </si>
  <si>
    <t>Responsible</t>
  </si>
  <si>
    <t>Fecha Inicio</t>
  </si>
  <si>
    <t>Dias</t>
  </si>
  <si>
    <t>Fecha Fin</t>
  </si>
  <si>
    <t>Etapa1</t>
  </si>
  <si>
    <t>Etapa 2</t>
  </si>
  <si>
    <t>Etapa 3</t>
  </si>
  <si>
    <t>Avance</t>
  </si>
  <si>
    <t>Pruebas iniciales de formulación</t>
  </si>
  <si>
    <t>Estudio de tendencias y preferencias</t>
  </si>
  <si>
    <t>Análisis de materias primas</t>
  </si>
  <si>
    <t>Preparación de equipos y materiales</t>
  </si>
  <si>
    <t>Cargo</t>
  </si>
  <si>
    <t>Maestro Cervecero</t>
  </si>
  <si>
    <t>Analista de Mercado</t>
  </si>
  <si>
    <t>Control de Calidad</t>
  </si>
  <si>
    <t>Encargado Produccion</t>
  </si>
  <si>
    <t>Juan Ravier</t>
  </si>
  <si>
    <t>Maria Mendoza</t>
  </si>
  <si>
    <t>Sara Kang</t>
  </si>
  <si>
    <t>Pedro Pascal</t>
  </si>
  <si>
    <t>Elaboración del lote piloto</t>
  </si>
  <si>
    <t>Pruebas sensoriales con clientes</t>
  </si>
  <si>
    <t>Control microbiológico y fisicoquímico</t>
  </si>
  <si>
    <t>Ajustes en el proceso de producción</t>
  </si>
  <si>
    <t>Supervisión del escalado industrial</t>
  </si>
  <si>
    <t>Estrategia de marketing y lanzamiento</t>
  </si>
  <si>
    <t>Certificación de calidad final</t>
  </si>
  <si>
    <t>Producción y distribución final</t>
  </si>
  <si>
    <t>Linea de Tiempo</t>
  </si>
  <si>
    <t>DIAGRAMA GANTT - DESARROLLO DE PRODUCTO DE CERVECERIA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</si>
</sst>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\,\ dd/mm/yyyy"/>
    <numFmt numFmtId="165" formatCode="dd/mm/yyyy;@"/>
    <numFmt numFmtId="170" formatCode="dd"/>
    <numFmt numFmtId="173" formatCode="dddd\,dd/mm/yyyy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20"/>
      <color theme="0"/>
      <name val="Adobe Pi Std"/>
      <family val="5"/>
    </font>
    <font>
      <sz val="2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1"/>
      <color rgb="FF002060"/>
      <name val="Aptos Narrow"/>
      <family val="2"/>
      <scheme val="minor"/>
    </font>
    <font>
      <sz val="14"/>
      <color theme="0"/>
      <name val="Adobe Heiti Std R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34">
    <xf numFmtId="0" fontId="0" fillId="0" borderId="0" xfId="0"/>
    <xf numFmtId="0" fontId="2" fillId="0" borderId="0" xfId="0" applyFont="1"/>
    <xf numFmtId="9" fontId="0" fillId="0" borderId="0" xfId="1" applyFont="1"/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5" xfId="0" applyFill="1" applyBorder="1"/>
    <xf numFmtId="0" fontId="0" fillId="6" borderId="0" xfId="0" applyFill="1"/>
    <xf numFmtId="164" fontId="2" fillId="8" borderId="1" xfId="0" applyNumberFormat="1" applyFont="1" applyFill="1" applyBorder="1" applyAlignment="1">
      <alignment horizontal="center"/>
    </xf>
    <xf numFmtId="164" fontId="2" fillId="8" borderId="3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8" xfId="0" applyFont="1" applyFill="1" applyBorder="1" applyAlignment="1">
      <alignment horizontal="right"/>
    </xf>
    <xf numFmtId="0" fontId="3" fillId="7" borderId="1" xfId="2" applyFill="1" applyBorder="1" applyAlignment="1">
      <alignment horizontal="center" wrapText="1"/>
    </xf>
    <xf numFmtId="0" fontId="3" fillId="7" borderId="2" xfId="2" applyFill="1" applyBorder="1" applyAlignment="1">
      <alignment horizontal="center" wrapText="1"/>
    </xf>
    <xf numFmtId="0" fontId="3" fillId="7" borderId="4" xfId="3" applyFont="1" applyFill="1" applyBorder="1" applyAlignment="1">
      <alignment horizontal="center" wrapText="1"/>
    </xf>
    <xf numFmtId="0" fontId="3" fillId="7" borderId="1" xfId="3" applyFont="1" applyFill="1" applyBorder="1" applyAlignment="1">
      <alignment horizontal="center"/>
    </xf>
    <xf numFmtId="0" fontId="3" fillId="7" borderId="3" xfId="3" applyFont="1" applyFill="1" applyBorder="1" applyAlignment="1">
      <alignment horizontal="center"/>
    </xf>
    <xf numFmtId="164" fontId="2" fillId="8" borderId="2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73" fontId="0" fillId="7" borderId="6" xfId="0" applyNumberFormat="1" applyFont="1" applyFill="1" applyBorder="1" applyAlignment="1">
      <alignment horizontal="center"/>
    </xf>
    <xf numFmtId="173" fontId="0" fillId="7" borderId="7" xfId="0" applyNumberFormat="1" applyFont="1" applyFill="1" applyBorder="1" applyAlignment="1">
      <alignment horizontal="center"/>
    </xf>
    <xf numFmtId="173" fontId="0" fillId="4" borderId="7" xfId="0" applyNumberFormat="1" applyFill="1" applyBorder="1" applyAlignment="1">
      <alignment horizontal="center"/>
    </xf>
    <xf numFmtId="173" fontId="0" fillId="7" borderId="7" xfId="0" applyNumberFormat="1" applyFill="1" applyBorder="1" applyAlignment="1">
      <alignment horizontal="center"/>
    </xf>
    <xf numFmtId="173" fontId="0" fillId="7" borderId="8" xfId="0" applyNumberFormat="1" applyFill="1" applyBorder="1" applyAlignment="1">
      <alignment horizontal="center"/>
    </xf>
    <xf numFmtId="170" fontId="4" fillId="0" borderId="5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8" borderId="5" xfId="0" applyFill="1" applyBorder="1"/>
    <xf numFmtId="0" fontId="5" fillId="6" borderId="0" xfId="0" applyFont="1" applyFill="1" applyAlignment="1">
      <alignment horizontal="left"/>
    </xf>
    <xf numFmtId="0" fontId="6" fillId="6" borderId="0" xfId="0" applyFont="1" applyFill="1"/>
    <xf numFmtId="0" fontId="6" fillId="0" borderId="0" xfId="0" applyFont="1"/>
    <xf numFmtId="0" fontId="7" fillId="6" borderId="0" xfId="0" applyFont="1" applyFill="1"/>
    <xf numFmtId="14" fontId="8" fillId="6" borderId="0" xfId="0" applyNumberFormat="1" applyFont="1" applyFill="1"/>
    <xf numFmtId="0" fontId="9" fillId="6" borderId="9" xfId="0" applyFont="1" applyFill="1" applyBorder="1" applyAlignment="1">
      <alignment horizontal="center"/>
    </xf>
    <xf numFmtId="0" fontId="8" fillId="6" borderId="0" xfId="0" applyFont="1" applyFill="1"/>
  </cellXfs>
  <cellStyles count="4">
    <cellStyle name="20% - Énfasis6" xfId="3" builtinId="50"/>
    <cellStyle name="Énfasis6" xfId="2" builtinId="49"/>
    <cellStyle name="Normal" xfId="0" builtinId="0"/>
    <cellStyle name="Porcentaje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Spin" dx="26" fmlaLink="$F$7" max="30" min="1" page="10" val="5"/>
</file>

<file path=xl/ctrlProps/ctrlProp2.xml><?xml version="1.0" encoding="utf-8"?>
<formControlPr xmlns="http://schemas.microsoft.com/office/spreadsheetml/2009/9/main" objectType="Spin" dx="26" fmlaLink="$F$10" max="30" min="1" page="10" val="9"/>
</file>

<file path=xl/ctrlProps/ctrlProp3.xml><?xml version="1.0" encoding="utf-8"?>
<formControlPr xmlns="http://schemas.microsoft.com/office/spreadsheetml/2009/9/main" objectType="Spin" dx="26" fmlaLink="$F$8" max="30" min="1" page="10" val="10"/>
</file>

<file path=xl/ctrlProps/ctrlProp4.xml><?xml version="1.0" encoding="utf-8"?>
<formControlPr xmlns="http://schemas.microsoft.com/office/spreadsheetml/2009/9/main" objectType="Spin" dx="26" fmlaLink="$F$9" max="30" min="1" page="10" val="12"/>
</file>

<file path=xl/ctrlProps/ctrlProp5.xml><?xml version="1.0" encoding="utf-8"?>
<formControlPr xmlns="http://schemas.microsoft.com/office/spreadsheetml/2009/9/main" objectType="Spin" dx="26" fmlaLink="$F$12" max="30" min="1" page="10" val="12"/>
</file>

<file path=xl/ctrlProps/ctrlProp6.xml><?xml version="1.0" encoding="utf-8"?>
<formControlPr xmlns="http://schemas.microsoft.com/office/spreadsheetml/2009/9/main" objectType="Spin" dx="26" fmlaLink="$F$13" max="30" min="1" page="10" val="8"/>
</file>

<file path=xl/ctrlProps/ctrlProp7.xml><?xml version="1.0" encoding="utf-8"?>
<formControlPr xmlns="http://schemas.microsoft.com/office/spreadsheetml/2009/9/main" objectType="Spin" dx="26" fmlaLink="$F$14" max="30" min="1" page="10" val="9"/>
</file>

<file path=xl/ctrlProps/ctrlProp8.xml><?xml version="1.0" encoding="utf-8"?>
<formControlPr xmlns="http://schemas.microsoft.com/office/spreadsheetml/2009/9/main" objectType="Spin" dx="26" fmlaLink="$F$15" max="30" min="1" page="10" val="8"/>
</file>

<file path=xl/ctrlProps/ctrlProp9.xml><?xml version="1.0" encoding="utf-8"?>
<formControlPr xmlns="http://schemas.microsoft.com/office/spreadsheetml/2009/9/main" objectType="Spin" dx="26" fmlaLink="$F$17" max="30" min="1" page="10" val="10"/>
</file>

<file path=xl/ctrlProps/ctrlProp10.xml><?xml version="1.0" encoding="utf-8"?>
<formControlPr xmlns="http://schemas.microsoft.com/office/spreadsheetml/2009/9/main" objectType="Spin" dx="26" fmlaLink="$F$18" max="30" min="1" page="10" val="6"/>
</file>

<file path=xl/ctrlProps/ctrlProp11.xml><?xml version="1.0" encoding="utf-8"?>
<formControlPr xmlns="http://schemas.microsoft.com/office/spreadsheetml/2009/9/main" objectType="Spin" dx="26" fmlaLink="$F$7" max="30" min="1" page="10" val="5"/>
</file>

<file path=xl/ctrlProps/ctrlProp12.xml><?xml version="1.0" encoding="utf-8"?>
<formControlPr xmlns="http://schemas.microsoft.com/office/spreadsheetml/2009/9/main" objectType="Spin" dx="26" fmlaLink="$F$19" max="30" min="1" page="10" val="9"/>
</file>

<file path=xl/ctrlProps/ctrlProp13.xml><?xml version="1.0" encoding="utf-8"?>
<formControlPr xmlns="http://schemas.microsoft.com/office/spreadsheetml/2009/9/main" objectType="Spin" dx="26" fmlaLink="$F$20" max="30" min="1" page="10" val="12"/>
</file>

<file path=xl/ctrlProps/ctrlProp14.xml><?xml version="1.0" encoding="utf-8"?>
<formControlPr xmlns="http://schemas.microsoft.com/office/spreadsheetml/2009/9/main" objectType="Scroll" dx="26" fmlaLink="$H$2" horiz="1" max="365" noThreeD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44087</xdr:colOff>
          <xdr:row>6</xdr:row>
          <xdr:rowOff>8164</xdr:rowOff>
        </xdr:from>
        <xdr:to>
          <xdr:col>7</xdr:col>
          <xdr:colOff>242207</xdr:colOff>
          <xdr:row>6</xdr:row>
          <xdr:rowOff>175804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9</xdr:row>
          <xdr:rowOff>4354</xdr:rowOff>
        </xdr:from>
        <xdr:to>
          <xdr:col>7</xdr:col>
          <xdr:colOff>243840</xdr:colOff>
          <xdr:row>9</xdr:row>
          <xdr:rowOff>171994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21384B8-8670-B3D6-1D65-E49F797B0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7</xdr:row>
          <xdr:rowOff>7620</xdr:rowOff>
        </xdr:from>
        <xdr:to>
          <xdr:col>7</xdr:col>
          <xdr:colOff>243840</xdr:colOff>
          <xdr:row>7</xdr:row>
          <xdr:rowOff>175260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EAB61D8-0FB9-5A49-08AE-0B367F628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8</xdr:row>
          <xdr:rowOff>13062</xdr:rowOff>
        </xdr:from>
        <xdr:to>
          <xdr:col>7</xdr:col>
          <xdr:colOff>243840</xdr:colOff>
          <xdr:row>8</xdr:row>
          <xdr:rowOff>180702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31F9534-287F-9FDD-97E2-885562E07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11</xdr:row>
          <xdr:rowOff>7620</xdr:rowOff>
        </xdr:from>
        <xdr:to>
          <xdr:col>7</xdr:col>
          <xdr:colOff>243840</xdr:colOff>
          <xdr:row>11</xdr:row>
          <xdr:rowOff>175260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67A2BCC-1FD5-4BBB-002D-CD2F6A201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12</xdr:row>
          <xdr:rowOff>7620</xdr:rowOff>
        </xdr:from>
        <xdr:to>
          <xdr:col>7</xdr:col>
          <xdr:colOff>243840</xdr:colOff>
          <xdr:row>12</xdr:row>
          <xdr:rowOff>175260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921E6975-522A-7604-9737-3C8257544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13</xdr:row>
          <xdr:rowOff>7620</xdr:rowOff>
        </xdr:from>
        <xdr:to>
          <xdr:col>7</xdr:col>
          <xdr:colOff>243840</xdr:colOff>
          <xdr:row>13</xdr:row>
          <xdr:rowOff>175260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124757C-DF0C-18E3-3C42-89BC3691F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14</xdr:row>
          <xdr:rowOff>7620</xdr:rowOff>
        </xdr:from>
        <xdr:to>
          <xdr:col>7</xdr:col>
          <xdr:colOff>243840</xdr:colOff>
          <xdr:row>14</xdr:row>
          <xdr:rowOff>175260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B308034-BBA7-730F-5169-0ED0B1CD5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16</xdr:row>
          <xdr:rowOff>7620</xdr:rowOff>
        </xdr:from>
        <xdr:to>
          <xdr:col>7</xdr:col>
          <xdr:colOff>243840</xdr:colOff>
          <xdr:row>16</xdr:row>
          <xdr:rowOff>175260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1A3761F8-1450-67E9-BB30-AFD7D4377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17</xdr:row>
          <xdr:rowOff>7620</xdr:rowOff>
        </xdr:from>
        <xdr:to>
          <xdr:col>7</xdr:col>
          <xdr:colOff>243840</xdr:colOff>
          <xdr:row>17</xdr:row>
          <xdr:rowOff>175260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BD51369D-1286-C790-3050-0E28B8733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18</xdr:row>
          <xdr:rowOff>7620</xdr:rowOff>
        </xdr:from>
        <xdr:to>
          <xdr:col>7</xdr:col>
          <xdr:colOff>243840</xdr:colOff>
          <xdr:row>18</xdr:row>
          <xdr:rowOff>175260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66B3235E-F1CA-FF4E-5A52-4AE15D280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18</xdr:row>
          <xdr:rowOff>7620</xdr:rowOff>
        </xdr:from>
        <xdr:to>
          <xdr:col>7</xdr:col>
          <xdr:colOff>243840</xdr:colOff>
          <xdr:row>18</xdr:row>
          <xdr:rowOff>175260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C38515B2-39BC-A56A-E03F-254B43F31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19</xdr:row>
          <xdr:rowOff>7620</xdr:rowOff>
        </xdr:from>
        <xdr:to>
          <xdr:col>7</xdr:col>
          <xdr:colOff>243840</xdr:colOff>
          <xdr:row>19</xdr:row>
          <xdr:rowOff>175260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21BC720-2015-2A01-44DF-73346B061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150812</xdr:colOff>
          <xdr:row>1</xdr:row>
          <xdr:rowOff>39370</xdr:rowOff>
        </xdr:from>
        <xdr:to>
          <xdr:col>37</xdr:col>
          <xdr:colOff>198437</xdr:colOff>
          <xdr:row>1</xdr:row>
          <xdr:rowOff>321310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261938</xdr:colOff>
      <xdr:row>0</xdr:row>
      <xdr:rowOff>71440</xdr:rowOff>
    </xdr:from>
    <xdr:to>
      <xdr:col>4</xdr:col>
      <xdr:colOff>769938</xdr:colOff>
      <xdr:row>2</xdr:row>
      <xdr:rowOff>63502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E23998-2CCB-689C-676D-BBDE5D99C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563" y="71440"/>
          <a:ext cx="508000" cy="508000"/>
        </a:xfrm>
        <a:prstGeom prst="rect">
          <a:avLst/>
        </a:prstGeom>
      </xdr:spPr>
    </xdr:pic>
    <xdr:clientData/>
  </xdr:twoCellAnchor>
  <xdr:twoCellAnchor>
    <xdr:from>
      <xdr:col>20</xdr:col>
      <xdr:colOff>277813</xdr:colOff>
      <xdr:row>1</xdr:row>
      <xdr:rowOff>7937</xdr:rowOff>
    </xdr:from>
    <xdr:to>
      <xdr:col>22</xdr:col>
      <xdr:colOff>15875</xdr:colOff>
      <xdr:row>1</xdr:row>
      <xdr:rowOff>325437</xdr:rowOff>
    </xdr:to>
    <xdr:sp macro="" textlink="">
      <xdr:nvSpPr>
        <xdr:cNvPr id="4" name="Flecha: cheurón 3">
          <a:extLst>
            <a:ext uri="{FF2B5EF4-FFF2-40B4-BE49-F238E27FC236}">
              <a16:creationId xmlns:a16="http://schemas.microsoft.com/office/drawing/2014/main" id="{DF6EBBED-8307-02B4-6697-A023CDF07B58}"/>
            </a:ext>
          </a:extLst>
        </xdr:cNvPr>
        <xdr:cNvSpPr/>
      </xdr:nvSpPr>
      <xdr:spPr>
        <a:xfrm>
          <a:off x="14597063" y="190500"/>
          <a:ext cx="309562" cy="3175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87313</xdr:colOff>
      <xdr:row>1</xdr:row>
      <xdr:rowOff>31749</xdr:rowOff>
    </xdr:from>
    <xdr:to>
      <xdr:col>38</xdr:col>
      <xdr:colOff>31750</xdr:colOff>
      <xdr:row>2</xdr:row>
      <xdr:rowOff>15874</xdr:rowOff>
    </xdr:to>
    <xdr:sp macro="" textlink="">
      <xdr:nvSpPr>
        <xdr:cNvPr id="5" name="Flecha: cheurón 4">
          <a:extLst>
            <a:ext uri="{FF2B5EF4-FFF2-40B4-BE49-F238E27FC236}">
              <a16:creationId xmlns:a16="http://schemas.microsoft.com/office/drawing/2014/main" id="{B2074287-F7CF-D0DC-0861-354A8F10AC64}"/>
            </a:ext>
          </a:extLst>
        </xdr:cNvPr>
        <xdr:cNvSpPr/>
      </xdr:nvSpPr>
      <xdr:spPr>
        <a:xfrm flipH="1">
          <a:off x="19264313" y="214312"/>
          <a:ext cx="230187" cy="3175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>
            <a:solidFill>
              <a:schemeClr val="tx1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5F043-4FBE-45E1-ABEB-422D2E28D0B8}">
  <dimension ref="A1:AL23"/>
  <sheetViews>
    <sheetView tabSelected="1" topLeftCell="C1" zoomScale="96" zoomScaleNormal="96" workbookViewId="0">
      <selection activeCell="AM2" sqref="AM2"/>
    </sheetView>
  </sheetViews>
  <sheetFormatPr baseColWidth="10" defaultRowHeight="14.4" x14ac:dyDescent="0.3"/>
  <cols>
    <col min="1" max="1" width="35.44140625" customWidth="1"/>
    <col min="2" max="3" width="29.88671875" customWidth="1"/>
    <col min="4" max="4" width="20.33203125" customWidth="1"/>
    <col min="7" max="7" width="16.21875" bestFit="1" customWidth="1"/>
    <col min="8" max="8" width="3.88671875" customWidth="1"/>
    <col min="9" max="38" width="4.109375" customWidth="1"/>
  </cols>
  <sheetData>
    <row r="1" spans="1:38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s="29" customFormat="1" ht="26.4" thickBot="1" x14ac:dyDescent="0.55000000000000004">
      <c r="A2" s="27" t="s">
        <v>32</v>
      </c>
      <c r="B2" s="27"/>
      <c r="C2" s="27"/>
      <c r="D2" s="27"/>
      <c r="E2" s="27"/>
      <c r="F2" s="28"/>
      <c r="G2" s="28"/>
      <c r="H2" s="33">
        <v>1</v>
      </c>
      <c r="I2" s="31">
        <f>+F4+H2</f>
        <v>45202</v>
      </c>
      <c r="J2" s="32" t="s">
        <v>31</v>
      </c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</row>
    <row r="3" spans="1:38" ht="15" thickBot="1" x14ac:dyDescent="0.35">
      <c r="A3" s="6"/>
      <c r="B3" s="6"/>
      <c r="C3" s="6"/>
      <c r="D3" s="6"/>
      <c r="E3" s="6"/>
      <c r="F3" s="6"/>
      <c r="G3" s="6"/>
      <c r="H3" s="6"/>
      <c r="I3" s="19">
        <f>+I4</f>
        <v>45202</v>
      </c>
      <c r="J3" s="20"/>
      <c r="K3" s="20"/>
      <c r="L3" s="20"/>
      <c r="M3" s="20"/>
      <c r="N3" s="20"/>
      <c r="O3" s="21">
        <f t="shared" ref="O3" si="0">+O4</f>
        <v>45208</v>
      </c>
      <c r="P3" s="21"/>
      <c r="Q3" s="21"/>
      <c r="R3" s="21"/>
      <c r="S3" s="21"/>
      <c r="T3" s="21"/>
      <c r="U3" s="22">
        <f t="shared" ref="U3" si="1">+U4</f>
        <v>45214</v>
      </c>
      <c r="V3" s="22"/>
      <c r="W3" s="22"/>
      <c r="X3" s="22"/>
      <c r="Y3" s="22"/>
      <c r="Z3" s="22"/>
      <c r="AA3" s="21">
        <f t="shared" ref="AA3" si="2">+AA4</f>
        <v>45220</v>
      </c>
      <c r="AB3" s="21"/>
      <c r="AC3" s="21"/>
      <c r="AD3" s="21"/>
      <c r="AE3" s="21"/>
      <c r="AF3" s="21"/>
      <c r="AG3" s="22">
        <f t="shared" ref="AG3" si="3">+AG4</f>
        <v>45226</v>
      </c>
      <c r="AH3" s="22"/>
      <c r="AI3" s="22"/>
      <c r="AJ3" s="22"/>
      <c r="AK3" s="22"/>
      <c r="AL3" s="23"/>
    </row>
    <row r="4" spans="1:38" ht="15" thickBot="1" x14ac:dyDescent="0.35">
      <c r="A4" s="9" t="s">
        <v>0</v>
      </c>
      <c r="B4" s="10"/>
      <c r="C4" s="10"/>
      <c r="D4" s="10"/>
      <c r="E4" s="11"/>
      <c r="F4" s="7">
        <v>45201</v>
      </c>
      <c r="G4" s="17"/>
      <c r="H4" s="8"/>
      <c r="I4" s="24">
        <f>+I2</f>
        <v>45202</v>
      </c>
      <c r="J4" s="24">
        <f>+I4+1</f>
        <v>45203</v>
      </c>
      <c r="K4" s="24">
        <f>+J4+1</f>
        <v>45204</v>
      </c>
      <c r="L4" s="24">
        <f>+K4+1</f>
        <v>45205</v>
      </c>
      <c r="M4" s="24">
        <f>+L4+1</f>
        <v>45206</v>
      </c>
      <c r="N4" s="24">
        <f>+M4+1</f>
        <v>45207</v>
      </c>
      <c r="O4" s="24">
        <f>+N4+1</f>
        <v>45208</v>
      </c>
      <c r="P4" s="24">
        <f>+O4+1</f>
        <v>45209</v>
      </c>
      <c r="Q4" s="24">
        <f>+P4+1</f>
        <v>45210</v>
      </c>
      <c r="R4" s="24">
        <f t="shared" ref="R4:W4" si="4">+Q4+1</f>
        <v>45211</v>
      </c>
      <c r="S4" s="24">
        <f t="shared" si="4"/>
        <v>45212</v>
      </c>
      <c r="T4" s="24">
        <f t="shared" si="4"/>
        <v>45213</v>
      </c>
      <c r="U4" s="24">
        <f t="shared" si="4"/>
        <v>45214</v>
      </c>
      <c r="V4" s="24">
        <f t="shared" si="4"/>
        <v>45215</v>
      </c>
      <c r="W4" s="24">
        <f t="shared" si="4"/>
        <v>45216</v>
      </c>
      <c r="X4" s="24">
        <f>+W4+1</f>
        <v>45217</v>
      </c>
      <c r="Y4" s="24">
        <f>+X4+1</f>
        <v>45218</v>
      </c>
      <c r="Z4" s="24">
        <f t="shared" ref="Z4" si="5">+Y4+1</f>
        <v>45219</v>
      </c>
      <c r="AA4" s="24">
        <f>+Z4+1</f>
        <v>45220</v>
      </c>
      <c r="AB4" s="24">
        <f>+AA4+1</f>
        <v>45221</v>
      </c>
      <c r="AC4" s="24">
        <f t="shared" ref="AC4:AI4" si="6">+AB4+1</f>
        <v>45222</v>
      </c>
      <c r="AD4" s="24">
        <f t="shared" si="6"/>
        <v>45223</v>
      </c>
      <c r="AE4" s="24">
        <f t="shared" si="6"/>
        <v>45224</v>
      </c>
      <c r="AF4" s="24">
        <f t="shared" si="6"/>
        <v>45225</v>
      </c>
      <c r="AG4" s="24">
        <f t="shared" si="6"/>
        <v>45226</v>
      </c>
      <c r="AH4" s="24">
        <f t="shared" si="6"/>
        <v>45227</v>
      </c>
      <c r="AI4" s="24">
        <f t="shared" si="6"/>
        <v>45228</v>
      </c>
      <c r="AJ4" s="24">
        <f t="shared" ref="AJ4:AL4" si="7">+AI4+1</f>
        <v>45229</v>
      </c>
      <c r="AK4" s="24">
        <f t="shared" si="7"/>
        <v>45230</v>
      </c>
      <c r="AL4" s="24">
        <f t="shared" si="7"/>
        <v>45231</v>
      </c>
    </row>
    <row r="5" spans="1:38" ht="15" thickBot="1" x14ac:dyDescent="0.35">
      <c r="A5" s="12" t="s">
        <v>1</v>
      </c>
      <c r="B5" s="13" t="s">
        <v>2</v>
      </c>
      <c r="C5" s="13" t="s">
        <v>14</v>
      </c>
      <c r="D5" s="13" t="s">
        <v>9</v>
      </c>
      <c r="E5" s="13" t="s">
        <v>3</v>
      </c>
      <c r="F5" s="14" t="s">
        <v>4</v>
      </c>
      <c r="G5" s="15" t="s">
        <v>5</v>
      </c>
      <c r="H5" s="16"/>
      <c r="I5" s="25" t="str">
        <f>+TEXT(I4,"ddd")</f>
        <v>mar</v>
      </c>
      <c r="J5" s="25" t="str">
        <f t="shared" ref="J5:AI5" si="8">+TEXT(J4,"ddd")</f>
        <v>mié</v>
      </c>
      <c r="K5" s="25" t="str">
        <f t="shared" si="8"/>
        <v>jue</v>
      </c>
      <c r="L5" s="25" t="str">
        <f t="shared" si="8"/>
        <v>vie</v>
      </c>
      <c r="M5" s="25" t="str">
        <f t="shared" si="8"/>
        <v>sáb</v>
      </c>
      <c r="N5" s="25" t="str">
        <f t="shared" si="8"/>
        <v>dom</v>
      </c>
      <c r="O5" s="25" t="str">
        <f t="shared" si="8"/>
        <v>lun</v>
      </c>
      <c r="P5" s="25" t="str">
        <f t="shared" si="8"/>
        <v>mar</v>
      </c>
      <c r="Q5" s="25" t="str">
        <f t="shared" si="8"/>
        <v>mié</v>
      </c>
      <c r="R5" s="25" t="str">
        <f t="shared" si="8"/>
        <v>jue</v>
      </c>
      <c r="S5" s="25" t="str">
        <f t="shared" si="8"/>
        <v>vie</v>
      </c>
      <c r="T5" s="25" t="str">
        <f t="shared" si="8"/>
        <v>sáb</v>
      </c>
      <c r="U5" s="25" t="str">
        <f t="shared" si="8"/>
        <v>dom</v>
      </c>
      <c r="V5" s="25" t="str">
        <f t="shared" si="8"/>
        <v>lun</v>
      </c>
      <c r="W5" s="25" t="str">
        <f t="shared" si="8"/>
        <v>mar</v>
      </c>
      <c r="X5" s="25" t="str">
        <f t="shared" si="8"/>
        <v>mié</v>
      </c>
      <c r="Y5" s="25" t="str">
        <f t="shared" si="8"/>
        <v>jue</v>
      </c>
      <c r="Z5" s="25" t="str">
        <f t="shared" si="8"/>
        <v>vie</v>
      </c>
      <c r="AA5" s="25" t="str">
        <f t="shared" si="8"/>
        <v>sáb</v>
      </c>
      <c r="AB5" s="25" t="str">
        <f t="shared" si="8"/>
        <v>dom</v>
      </c>
      <c r="AC5" s="25" t="str">
        <f t="shared" si="8"/>
        <v>lun</v>
      </c>
      <c r="AD5" s="25" t="str">
        <f t="shared" si="8"/>
        <v>mar</v>
      </c>
      <c r="AE5" s="25" t="str">
        <f t="shared" si="8"/>
        <v>mié</v>
      </c>
      <c r="AF5" s="25" t="str">
        <f t="shared" si="8"/>
        <v>jue</v>
      </c>
      <c r="AG5" s="25" t="str">
        <f t="shared" si="8"/>
        <v>vie</v>
      </c>
      <c r="AH5" s="25" t="str">
        <f t="shared" si="8"/>
        <v>sáb</v>
      </c>
      <c r="AI5" s="25" t="str">
        <f t="shared" si="8"/>
        <v>dom</v>
      </c>
      <c r="AJ5" s="25" t="str">
        <f t="shared" ref="AJ5" si="9">+TEXT(AJ4,"ddd")</f>
        <v>lun</v>
      </c>
      <c r="AK5" s="25" t="str">
        <f t="shared" ref="AK5" si="10">+TEXT(AK4,"ddd")</f>
        <v>mar</v>
      </c>
      <c r="AL5" s="25" t="str">
        <f t="shared" ref="AL5" si="11">+TEXT(AL4,"ddd")</f>
        <v>mié</v>
      </c>
    </row>
    <row r="6" spans="1:38" x14ac:dyDescent="0.3">
      <c r="A6" s="1" t="s">
        <v>6</v>
      </c>
      <c r="D6" s="18"/>
      <c r="E6" s="18"/>
      <c r="F6" s="18"/>
      <c r="G6" s="18"/>
      <c r="H6" s="18"/>
      <c r="I6" s="5"/>
      <c r="J6" s="5"/>
      <c r="K6" s="5"/>
      <c r="L6" s="5"/>
      <c r="M6" s="5"/>
      <c r="N6" s="5"/>
      <c r="O6" s="26"/>
      <c r="P6" s="26"/>
      <c r="Q6" s="26"/>
      <c r="R6" s="26"/>
      <c r="S6" s="26"/>
      <c r="T6" s="26"/>
      <c r="U6" s="5"/>
      <c r="V6" s="5"/>
      <c r="W6" s="5"/>
      <c r="X6" s="5"/>
      <c r="Y6" s="5"/>
      <c r="Z6" s="5"/>
      <c r="AA6" s="26"/>
      <c r="AB6" s="26"/>
      <c r="AC6" s="26"/>
      <c r="AD6" s="26"/>
      <c r="AE6" s="26"/>
      <c r="AF6" s="26"/>
      <c r="AG6" s="5"/>
      <c r="AH6" s="5"/>
      <c r="AI6" s="5"/>
      <c r="AJ6" s="5"/>
      <c r="AK6" s="5"/>
      <c r="AL6" s="5"/>
    </row>
    <row r="7" spans="1:38" x14ac:dyDescent="0.3">
      <c r="A7" t="s">
        <v>10</v>
      </c>
      <c r="B7" t="s">
        <v>19</v>
      </c>
      <c r="C7" t="s">
        <v>15</v>
      </c>
      <c r="D7" s="2">
        <v>0.25</v>
      </c>
      <c r="E7" s="3">
        <v>45201</v>
      </c>
      <c r="F7" s="4">
        <v>5</v>
      </c>
      <c r="G7" s="3">
        <f>E7+F7-1</f>
        <v>45205</v>
      </c>
      <c r="I7" s="5"/>
      <c r="J7" s="5"/>
      <c r="K7" s="5"/>
      <c r="L7" s="5"/>
      <c r="M7" s="5"/>
      <c r="N7" s="5"/>
      <c r="O7" s="26"/>
      <c r="P7" s="26"/>
      <c r="Q7" s="26"/>
      <c r="R7" s="26"/>
      <c r="S7" s="26"/>
      <c r="T7" s="26"/>
      <c r="U7" s="5"/>
      <c r="V7" s="5"/>
      <c r="W7" s="5"/>
      <c r="X7" s="5"/>
      <c r="Y7" s="5"/>
      <c r="Z7" s="5"/>
      <c r="AA7" s="26"/>
      <c r="AB7" s="26"/>
      <c r="AC7" s="26"/>
      <c r="AD7" s="26"/>
      <c r="AE7" s="26"/>
      <c r="AF7" s="26"/>
      <c r="AG7" s="5"/>
      <c r="AH7" s="5"/>
      <c r="AI7" s="5"/>
      <c r="AJ7" s="5"/>
      <c r="AK7" s="5"/>
      <c r="AL7" s="5"/>
    </row>
    <row r="8" spans="1:38" x14ac:dyDescent="0.3">
      <c r="A8" t="s">
        <v>11</v>
      </c>
      <c r="B8" t="s">
        <v>20</v>
      </c>
      <c r="C8" t="s">
        <v>16</v>
      </c>
      <c r="D8" s="2">
        <v>0.6</v>
      </c>
      <c r="E8" s="3">
        <v>45204</v>
      </c>
      <c r="F8" s="4">
        <v>10</v>
      </c>
      <c r="G8" s="3">
        <f t="shared" ref="G8:G10" si="12">E8+F8-1</f>
        <v>45213</v>
      </c>
      <c r="I8" s="5"/>
      <c r="J8" s="5"/>
      <c r="K8" s="5"/>
      <c r="L8" s="5"/>
      <c r="M8" s="5"/>
      <c r="N8" s="5"/>
      <c r="O8" s="26"/>
      <c r="P8" s="26"/>
      <c r="Q8" s="26"/>
      <c r="R8" s="26"/>
      <c r="S8" s="26"/>
      <c r="T8" s="26"/>
      <c r="U8" s="5"/>
      <c r="V8" s="5"/>
      <c r="W8" s="5"/>
      <c r="X8" s="5"/>
      <c r="Y8" s="5"/>
      <c r="Z8" s="5"/>
      <c r="AA8" s="26"/>
      <c r="AB8" s="26"/>
      <c r="AC8" s="26"/>
      <c r="AD8" s="26"/>
      <c r="AE8" s="26"/>
      <c r="AF8" s="26"/>
      <c r="AG8" s="5"/>
      <c r="AH8" s="5"/>
      <c r="AI8" s="5"/>
      <c r="AJ8" s="5"/>
      <c r="AK8" s="5"/>
      <c r="AL8" s="5"/>
    </row>
    <row r="9" spans="1:38" x14ac:dyDescent="0.3">
      <c r="A9" t="s">
        <v>12</v>
      </c>
      <c r="B9" t="s">
        <v>21</v>
      </c>
      <c r="C9" t="s">
        <v>17</v>
      </c>
      <c r="D9" s="2">
        <v>0.75</v>
      </c>
      <c r="E9" s="3">
        <v>45209</v>
      </c>
      <c r="F9" s="4">
        <v>12</v>
      </c>
      <c r="G9" s="3">
        <f t="shared" si="12"/>
        <v>45220</v>
      </c>
      <c r="I9" s="5"/>
      <c r="J9" s="5"/>
      <c r="K9" s="5"/>
      <c r="L9" s="5"/>
      <c r="M9" s="5"/>
      <c r="N9" s="5"/>
      <c r="O9" s="26"/>
      <c r="P9" s="26"/>
      <c r="Q9" s="26"/>
      <c r="R9" s="26"/>
      <c r="S9" s="26"/>
      <c r="T9" s="26"/>
      <c r="U9" s="5"/>
      <c r="V9" s="5"/>
      <c r="W9" s="5"/>
      <c r="X9" s="5"/>
      <c r="Y9" s="5"/>
      <c r="Z9" s="5"/>
      <c r="AA9" s="26"/>
      <c r="AB9" s="26"/>
      <c r="AC9" s="26"/>
      <c r="AD9" s="26"/>
      <c r="AE9" s="26"/>
      <c r="AF9" s="26"/>
      <c r="AG9" s="5"/>
      <c r="AH9" s="5"/>
      <c r="AI9" s="5"/>
      <c r="AJ9" s="5"/>
      <c r="AK9" s="5"/>
      <c r="AL9" s="5"/>
    </row>
    <row r="10" spans="1:38" x14ac:dyDescent="0.3">
      <c r="A10" t="s">
        <v>13</v>
      </c>
      <c r="B10" t="s">
        <v>22</v>
      </c>
      <c r="C10" t="s">
        <v>18</v>
      </c>
      <c r="D10" s="2">
        <v>0.5</v>
      </c>
      <c r="E10" s="3">
        <v>45214</v>
      </c>
      <c r="F10" s="4">
        <v>9</v>
      </c>
      <c r="G10" s="3">
        <f t="shared" si="12"/>
        <v>45222</v>
      </c>
      <c r="I10" s="5"/>
      <c r="J10" s="5"/>
      <c r="K10" s="5"/>
      <c r="L10" s="5"/>
      <c r="M10" s="5"/>
      <c r="N10" s="5"/>
      <c r="O10" s="26"/>
      <c r="P10" s="26"/>
      <c r="Q10" s="26"/>
      <c r="R10" s="26"/>
      <c r="S10" s="26"/>
      <c r="T10" s="26"/>
      <c r="U10" s="5"/>
      <c r="V10" s="5"/>
      <c r="W10" s="5"/>
      <c r="X10" s="5"/>
      <c r="Y10" s="5"/>
      <c r="Z10" s="5"/>
      <c r="AA10" s="26"/>
      <c r="AB10" s="26"/>
      <c r="AC10" s="26"/>
      <c r="AD10" s="26"/>
      <c r="AE10" s="26"/>
      <c r="AF10" s="26"/>
      <c r="AG10" s="5"/>
      <c r="AH10" s="5"/>
      <c r="AI10" s="5"/>
      <c r="AJ10" s="5"/>
      <c r="AK10" s="5"/>
      <c r="AL10" s="5"/>
    </row>
    <row r="11" spans="1:38" x14ac:dyDescent="0.3">
      <c r="A11" s="1" t="s">
        <v>7</v>
      </c>
      <c r="D11" s="2"/>
      <c r="E11" s="3"/>
      <c r="F11" s="4"/>
      <c r="G11" s="3"/>
      <c r="I11" s="5"/>
      <c r="J11" s="5"/>
      <c r="K11" s="5"/>
      <c r="L11" s="5"/>
      <c r="M11" s="5"/>
      <c r="N11" s="5"/>
      <c r="O11" s="26"/>
      <c r="P11" s="26"/>
      <c r="Q11" s="26"/>
      <c r="R11" s="26"/>
      <c r="S11" s="26"/>
      <c r="T11" s="26"/>
      <c r="U11" s="5"/>
      <c r="V11" s="5"/>
      <c r="W11" s="5"/>
      <c r="X11" s="5"/>
      <c r="Y11" s="5"/>
      <c r="Z11" s="5"/>
      <c r="AA11" s="26"/>
      <c r="AB11" s="26"/>
      <c r="AC11" s="26"/>
      <c r="AD11" s="26"/>
      <c r="AE11" s="26"/>
      <c r="AF11" s="26"/>
      <c r="AG11" s="5"/>
      <c r="AH11" s="5"/>
      <c r="AI11" s="5"/>
      <c r="AJ11" s="5"/>
      <c r="AK11" s="5"/>
      <c r="AL11" s="5"/>
    </row>
    <row r="12" spans="1:38" x14ac:dyDescent="0.3">
      <c r="A12" t="s">
        <v>23</v>
      </c>
      <c r="B12" t="s">
        <v>19</v>
      </c>
      <c r="C12" t="s">
        <v>15</v>
      </c>
      <c r="D12" s="2">
        <v>1</v>
      </c>
      <c r="E12" s="3">
        <v>45245</v>
      </c>
      <c r="F12" s="4">
        <v>12</v>
      </c>
      <c r="G12" s="3">
        <f>E12+F12-1</f>
        <v>45256</v>
      </c>
      <c r="I12" s="5"/>
      <c r="J12" s="5"/>
      <c r="K12" s="5"/>
      <c r="L12" s="5"/>
      <c r="M12" s="5"/>
      <c r="N12" s="5"/>
      <c r="O12" s="26"/>
      <c r="P12" s="26"/>
      <c r="Q12" s="26"/>
      <c r="R12" s="26"/>
      <c r="S12" s="26"/>
      <c r="T12" s="26"/>
      <c r="U12" s="5"/>
      <c r="V12" s="5"/>
      <c r="W12" s="5"/>
      <c r="X12" s="5"/>
      <c r="Y12" s="5"/>
      <c r="Z12" s="5"/>
      <c r="AA12" s="26"/>
      <c r="AB12" s="26"/>
      <c r="AC12" s="26"/>
      <c r="AD12" s="26"/>
      <c r="AE12" s="26"/>
      <c r="AF12" s="26"/>
      <c r="AG12" s="5"/>
      <c r="AH12" s="5"/>
      <c r="AI12" s="5"/>
      <c r="AJ12" s="5"/>
      <c r="AK12" s="5"/>
      <c r="AL12" s="5"/>
    </row>
    <row r="13" spans="1:38" x14ac:dyDescent="0.3">
      <c r="A13" t="s">
        <v>24</v>
      </c>
      <c r="B13" t="s">
        <v>20</v>
      </c>
      <c r="C13" t="s">
        <v>16</v>
      </c>
      <c r="D13" s="2">
        <v>0.45</v>
      </c>
      <c r="E13" s="3">
        <v>45215</v>
      </c>
      <c r="F13" s="4">
        <v>8</v>
      </c>
      <c r="G13" s="3">
        <f t="shared" ref="G13:G15" si="13">E13+F13-1</f>
        <v>45222</v>
      </c>
      <c r="I13" s="5"/>
      <c r="J13" s="5"/>
      <c r="K13" s="5"/>
      <c r="L13" s="5"/>
      <c r="M13" s="5"/>
      <c r="N13" s="5"/>
      <c r="O13" s="26"/>
      <c r="P13" s="26"/>
      <c r="Q13" s="26"/>
      <c r="R13" s="26"/>
      <c r="S13" s="26"/>
      <c r="T13" s="26"/>
      <c r="U13" s="5"/>
      <c r="V13" s="5"/>
      <c r="W13" s="5"/>
      <c r="X13" s="5"/>
      <c r="Y13" s="5"/>
      <c r="Z13" s="5"/>
      <c r="AA13" s="26"/>
      <c r="AB13" s="26"/>
      <c r="AC13" s="26"/>
      <c r="AD13" s="26"/>
      <c r="AE13" s="26"/>
      <c r="AF13" s="26"/>
      <c r="AG13" s="5"/>
      <c r="AH13" s="5"/>
      <c r="AI13" s="5"/>
      <c r="AJ13" s="5"/>
      <c r="AK13" s="5"/>
      <c r="AL13" s="5"/>
    </row>
    <row r="14" spans="1:38" x14ac:dyDescent="0.3">
      <c r="A14" t="s">
        <v>25</v>
      </c>
      <c r="B14" t="s">
        <v>21</v>
      </c>
      <c r="C14" t="s">
        <v>17</v>
      </c>
      <c r="D14" s="2">
        <v>0.25</v>
      </c>
      <c r="E14" s="3">
        <v>45217</v>
      </c>
      <c r="F14" s="4">
        <v>9</v>
      </c>
      <c r="G14" s="3">
        <f t="shared" si="13"/>
        <v>45225</v>
      </c>
      <c r="I14" s="5"/>
      <c r="J14" s="5"/>
      <c r="K14" s="5"/>
      <c r="L14" s="5"/>
      <c r="M14" s="5"/>
      <c r="N14" s="5"/>
      <c r="O14" s="26"/>
      <c r="P14" s="26"/>
      <c r="Q14" s="26"/>
      <c r="R14" s="26"/>
      <c r="S14" s="26"/>
      <c r="T14" s="26"/>
      <c r="U14" s="5"/>
      <c r="V14" s="5"/>
      <c r="W14" s="5"/>
      <c r="X14" s="5"/>
      <c r="Y14" s="5"/>
      <c r="Z14" s="5"/>
      <c r="AA14" s="26"/>
      <c r="AB14" s="26"/>
      <c r="AC14" s="26"/>
      <c r="AD14" s="26"/>
      <c r="AE14" s="26"/>
      <c r="AF14" s="26"/>
      <c r="AG14" s="5"/>
      <c r="AH14" s="5"/>
      <c r="AI14" s="5"/>
      <c r="AJ14" s="5"/>
      <c r="AK14" s="5"/>
      <c r="AL14" s="5"/>
    </row>
    <row r="15" spans="1:38" x14ac:dyDescent="0.3">
      <c r="A15" t="s">
        <v>26</v>
      </c>
      <c r="B15" t="s">
        <v>22</v>
      </c>
      <c r="C15" t="s">
        <v>18</v>
      </c>
      <c r="D15" s="2">
        <v>0.45</v>
      </c>
      <c r="E15" s="3">
        <v>45218</v>
      </c>
      <c r="F15" s="4">
        <v>8</v>
      </c>
      <c r="G15" s="3">
        <f t="shared" si="13"/>
        <v>45225</v>
      </c>
      <c r="I15" s="5"/>
      <c r="J15" s="5"/>
      <c r="K15" s="5"/>
      <c r="L15" s="5"/>
      <c r="M15" s="5"/>
      <c r="N15" s="5"/>
      <c r="O15" s="26"/>
      <c r="P15" s="26"/>
      <c r="Q15" s="26"/>
      <c r="R15" s="26"/>
      <c r="S15" s="26"/>
      <c r="T15" s="26"/>
      <c r="U15" s="5"/>
      <c r="V15" s="5"/>
      <c r="W15" s="5"/>
      <c r="X15" s="5"/>
      <c r="Y15" s="5"/>
      <c r="Z15" s="5"/>
      <c r="AA15" s="26"/>
      <c r="AB15" s="26"/>
      <c r="AC15" s="26"/>
      <c r="AD15" s="26"/>
      <c r="AE15" s="26"/>
      <c r="AF15" s="26"/>
      <c r="AG15" s="5"/>
      <c r="AH15" s="5"/>
      <c r="AI15" s="5"/>
      <c r="AJ15" s="5"/>
      <c r="AK15" s="5"/>
      <c r="AL15" s="5"/>
    </row>
    <row r="16" spans="1:38" x14ac:dyDescent="0.3">
      <c r="A16" s="1" t="s">
        <v>8</v>
      </c>
      <c r="D16" s="2"/>
      <c r="E16" s="3"/>
      <c r="F16" s="4"/>
      <c r="G16" s="3"/>
      <c r="I16" s="5"/>
      <c r="J16" s="5"/>
      <c r="K16" s="5"/>
      <c r="L16" s="5"/>
      <c r="M16" s="5"/>
      <c r="N16" s="5"/>
      <c r="O16" s="26"/>
      <c r="P16" s="26"/>
      <c r="Q16" s="26"/>
      <c r="R16" s="26"/>
      <c r="S16" s="26"/>
      <c r="T16" s="26"/>
      <c r="U16" s="5"/>
      <c r="V16" s="5"/>
      <c r="W16" s="5"/>
      <c r="X16" s="5"/>
      <c r="Y16" s="5"/>
      <c r="Z16" s="5"/>
      <c r="AA16" s="26"/>
      <c r="AB16" s="26"/>
      <c r="AC16" s="26"/>
      <c r="AD16" s="26"/>
      <c r="AE16" s="26"/>
      <c r="AF16" s="26"/>
      <c r="AG16" s="5"/>
      <c r="AH16" s="5"/>
      <c r="AI16" s="5"/>
      <c r="AJ16" s="5"/>
      <c r="AK16" s="5"/>
      <c r="AL16" s="5"/>
    </row>
    <row r="17" spans="1:38" x14ac:dyDescent="0.3">
      <c r="A17" t="s">
        <v>27</v>
      </c>
      <c r="B17" t="s">
        <v>19</v>
      </c>
      <c r="C17" t="s">
        <v>15</v>
      </c>
      <c r="D17" s="2">
        <v>0.5</v>
      </c>
      <c r="E17" s="3">
        <v>45219</v>
      </c>
      <c r="F17" s="4">
        <v>10</v>
      </c>
      <c r="G17" s="3">
        <f>E17+F17-1</f>
        <v>45228</v>
      </c>
      <c r="I17" s="5"/>
      <c r="J17" s="5"/>
      <c r="K17" s="5"/>
      <c r="L17" s="5"/>
      <c r="M17" s="5"/>
      <c r="N17" s="5"/>
      <c r="O17" s="26"/>
      <c r="P17" s="26"/>
      <c r="Q17" s="26"/>
      <c r="R17" s="26"/>
      <c r="S17" s="26"/>
      <c r="T17" s="26"/>
      <c r="U17" s="5"/>
      <c r="V17" s="5"/>
      <c r="W17" s="5"/>
      <c r="X17" s="5"/>
      <c r="Y17" s="5"/>
      <c r="Z17" s="5"/>
      <c r="AA17" s="26"/>
      <c r="AB17" s="26"/>
      <c r="AC17" s="26"/>
      <c r="AD17" s="26"/>
      <c r="AE17" s="26"/>
      <c r="AF17" s="26"/>
      <c r="AG17" s="5"/>
      <c r="AH17" s="5"/>
      <c r="AI17" s="5"/>
      <c r="AJ17" s="5"/>
      <c r="AK17" s="5"/>
      <c r="AL17" s="5"/>
    </row>
    <row r="18" spans="1:38" x14ac:dyDescent="0.3">
      <c r="A18" t="s">
        <v>28</v>
      </c>
      <c r="B18" t="s">
        <v>20</v>
      </c>
      <c r="C18" t="s">
        <v>16</v>
      </c>
      <c r="D18" s="2">
        <v>0.5</v>
      </c>
      <c r="E18" s="3">
        <v>45221</v>
      </c>
      <c r="F18" s="4">
        <v>6</v>
      </c>
      <c r="G18" s="3">
        <f t="shared" ref="G18:G20" si="14">E18+F18-1</f>
        <v>45226</v>
      </c>
      <c r="I18" s="5"/>
      <c r="J18" s="5"/>
      <c r="K18" s="5"/>
      <c r="L18" s="5"/>
      <c r="M18" s="5"/>
      <c r="N18" s="5"/>
      <c r="O18" s="26"/>
      <c r="P18" s="26"/>
      <c r="Q18" s="26"/>
      <c r="R18" s="26"/>
      <c r="S18" s="26"/>
      <c r="T18" s="26"/>
      <c r="U18" s="5"/>
      <c r="V18" s="5"/>
      <c r="W18" s="5"/>
      <c r="X18" s="5"/>
      <c r="Y18" s="5"/>
      <c r="Z18" s="5"/>
      <c r="AA18" s="26"/>
      <c r="AB18" s="26"/>
      <c r="AC18" s="26"/>
      <c r="AD18" s="26"/>
      <c r="AE18" s="26"/>
      <c r="AF18" s="26"/>
      <c r="AG18" s="5"/>
      <c r="AH18" s="5"/>
      <c r="AI18" s="5"/>
      <c r="AJ18" s="5"/>
      <c r="AK18" s="5"/>
      <c r="AL18" s="5"/>
    </row>
    <row r="19" spans="1:38" x14ac:dyDescent="0.3">
      <c r="A19" t="s">
        <v>29</v>
      </c>
      <c r="B19" t="s">
        <v>21</v>
      </c>
      <c r="C19" t="s">
        <v>17</v>
      </c>
      <c r="D19" s="2">
        <v>0.75</v>
      </c>
      <c r="E19" s="3">
        <v>45222</v>
      </c>
      <c r="F19" s="4">
        <v>9</v>
      </c>
      <c r="G19" s="3">
        <f t="shared" si="14"/>
        <v>45230</v>
      </c>
      <c r="I19" s="5"/>
      <c r="J19" s="5"/>
      <c r="K19" s="5"/>
      <c r="L19" s="5"/>
      <c r="M19" s="5"/>
      <c r="N19" s="5"/>
      <c r="O19" s="26"/>
      <c r="P19" s="26"/>
      <c r="Q19" s="26"/>
      <c r="R19" s="26"/>
      <c r="S19" s="26"/>
      <c r="T19" s="26"/>
      <c r="U19" s="5"/>
      <c r="V19" s="5"/>
      <c r="W19" s="5"/>
      <c r="X19" s="5"/>
      <c r="Y19" s="5"/>
      <c r="Z19" s="5"/>
      <c r="AA19" s="26"/>
      <c r="AB19" s="26"/>
      <c r="AC19" s="26"/>
      <c r="AD19" s="26"/>
      <c r="AE19" s="26"/>
      <c r="AF19" s="26"/>
      <c r="AG19" s="5"/>
      <c r="AH19" s="5"/>
      <c r="AI19" s="5"/>
      <c r="AJ19" s="5"/>
      <c r="AK19" s="5"/>
      <c r="AL19" s="5"/>
    </row>
    <row r="20" spans="1:38" x14ac:dyDescent="0.3">
      <c r="A20" t="s">
        <v>30</v>
      </c>
      <c r="B20" t="s">
        <v>22</v>
      </c>
      <c r="C20" t="s">
        <v>18</v>
      </c>
      <c r="D20" s="2">
        <v>1</v>
      </c>
      <c r="E20" s="3">
        <v>45223</v>
      </c>
      <c r="F20" s="4">
        <v>12</v>
      </c>
      <c r="G20" s="3">
        <f t="shared" si="14"/>
        <v>45234</v>
      </c>
      <c r="I20" s="5"/>
      <c r="J20" s="5"/>
      <c r="K20" s="5"/>
      <c r="L20" s="5"/>
      <c r="M20" s="5"/>
      <c r="N20" s="5"/>
      <c r="O20" s="26"/>
      <c r="P20" s="26"/>
      <c r="Q20" s="26"/>
      <c r="R20" s="26"/>
      <c r="S20" s="26"/>
      <c r="T20" s="26"/>
      <c r="U20" s="5"/>
      <c r="V20" s="5"/>
      <c r="W20" s="5"/>
      <c r="X20" s="5"/>
      <c r="Y20" s="5"/>
      <c r="Z20" s="5"/>
      <c r="AA20" s="26"/>
      <c r="AB20" s="26"/>
      <c r="AC20" s="26"/>
      <c r="AD20" s="26"/>
      <c r="AE20" s="26"/>
      <c r="AF20" s="26"/>
      <c r="AG20" s="5"/>
      <c r="AH20" s="5"/>
      <c r="AI20" s="5"/>
      <c r="AJ20" s="5"/>
      <c r="AK20" s="5"/>
      <c r="AL20" s="5"/>
    </row>
    <row r="23" spans="1:38" x14ac:dyDescent="0.3">
      <c r="D23" t="e" vm="1">
        <v>#VALUE!</v>
      </c>
    </row>
  </sheetData>
  <mergeCells count="11">
    <mergeCell ref="U3:Z3"/>
    <mergeCell ref="AA3:AF3"/>
    <mergeCell ref="AG3:AL3"/>
    <mergeCell ref="J2:AA2"/>
    <mergeCell ref="A2:E2"/>
    <mergeCell ref="G5:H5"/>
    <mergeCell ref="F4:H4"/>
    <mergeCell ref="D6:H6"/>
    <mergeCell ref="I3:N3"/>
    <mergeCell ref="O3:T3"/>
    <mergeCell ref="A4:E4"/>
  </mergeCells>
  <conditionalFormatting sqref="D7:D2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{A155392A-6F54-4D49-9037-5BA2C5C85703}</x14:id>
        </ext>
      </extLst>
    </cfRule>
  </conditionalFormatting>
  <conditionalFormatting sqref="I7:AL20">
    <cfRule type="expression" dxfId="0" priority="1">
      <formula>AND(I$4&gt;=$E7,I$4&lt;=$G7)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7</xdr:col>
                    <xdr:colOff>45720</xdr:colOff>
                    <xdr:row>6</xdr:row>
                    <xdr:rowOff>7620</xdr:rowOff>
                  </from>
                  <to>
                    <xdr:col>7</xdr:col>
                    <xdr:colOff>243840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Spinner 5">
              <controlPr defaultSize="0" autoPict="0">
                <anchor moveWithCells="1" sizeWithCells="1">
                  <from>
                    <xdr:col>7</xdr:col>
                    <xdr:colOff>45720</xdr:colOff>
                    <xdr:row>9</xdr:row>
                    <xdr:rowOff>7620</xdr:rowOff>
                  </from>
                  <to>
                    <xdr:col>7</xdr:col>
                    <xdr:colOff>243840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Spinner 6">
              <controlPr defaultSize="0" autoPict="0">
                <anchor moveWithCells="1" sizeWithCells="1">
                  <from>
                    <xdr:col>7</xdr:col>
                    <xdr:colOff>45720</xdr:colOff>
                    <xdr:row>7</xdr:row>
                    <xdr:rowOff>7620</xdr:rowOff>
                  </from>
                  <to>
                    <xdr:col>7</xdr:col>
                    <xdr:colOff>243840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Spinner 7">
              <controlPr defaultSize="0" autoPict="0">
                <anchor moveWithCells="1" sizeWithCells="1">
                  <from>
                    <xdr:col>7</xdr:col>
                    <xdr:colOff>45720</xdr:colOff>
                    <xdr:row>8</xdr:row>
                    <xdr:rowOff>15240</xdr:rowOff>
                  </from>
                  <to>
                    <xdr:col>7</xdr:col>
                    <xdr:colOff>243840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Spinner 8">
              <controlPr defaultSize="0" autoPict="0">
                <anchor moveWithCells="1" sizeWithCells="1">
                  <from>
                    <xdr:col>7</xdr:col>
                    <xdr:colOff>45720</xdr:colOff>
                    <xdr:row>11</xdr:row>
                    <xdr:rowOff>7620</xdr:rowOff>
                  </from>
                  <to>
                    <xdr:col>7</xdr:col>
                    <xdr:colOff>243840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Spinner 9">
              <controlPr defaultSize="0" autoPict="0">
                <anchor moveWithCells="1" sizeWithCells="1">
                  <from>
                    <xdr:col>7</xdr:col>
                    <xdr:colOff>45720</xdr:colOff>
                    <xdr:row>12</xdr:row>
                    <xdr:rowOff>7620</xdr:rowOff>
                  </from>
                  <to>
                    <xdr:col>7</xdr:col>
                    <xdr:colOff>243840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Spinner 10">
              <controlPr defaultSize="0" autoPict="0">
                <anchor moveWithCells="1" sizeWithCells="1">
                  <from>
                    <xdr:col>7</xdr:col>
                    <xdr:colOff>45720</xdr:colOff>
                    <xdr:row>13</xdr:row>
                    <xdr:rowOff>7620</xdr:rowOff>
                  </from>
                  <to>
                    <xdr:col>7</xdr:col>
                    <xdr:colOff>243840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>
                <anchor moveWithCells="1" sizeWithCells="1">
                  <from>
                    <xdr:col>7</xdr:col>
                    <xdr:colOff>45720</xdr:colOff>
                    <xdr:row>14</xdr:row>
                    <xdr:rowOff>7620</xdr:rowOff>
                  </from>
                  <to>
                    <xdr:col>7</xdr:col>
                    <xdr:colOff>243840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Spinner 12">
              <controlPr defaultSize="0" autoPict="0">
                <anchor moveWithCells="1" sizeWithCells="1">
                  <from>
                    <xdr:col>7</xdr:col>
                    <xdr:colOff>45720</xdr:colOff>
                    <xdr:row>16</xdr:row>
                    <xdr:rowOff>7620</xdr:rowOff>
                  </from>
                  <to>
                    <xdr:col>7</xdr:col>
                    <xdr:colOff>243840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Spinner 13">
              <controlPr defaultSize="0" autoPict="0">
                <anchor moveWithCells="1" sizeWithCells="1">
                  <from>
                    <xdr:col>7</xdr:col>
                    <xdr:colOff>45720</xdr:colOff>
                    <xdr:row>17</xdr:row>
                    <xdr:rowOff>7620</xdr:rowOff>
                  </from>
                  <to>
                    <xdr:col>7</xdr:col>
                    <xdr:colOff>243840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Spinner 14">
              <controlPr defaultSize="0" autoPict="0">
                <anchor moveWithCells="1" sizeWithCells="1">
                  <from>
                    <xdr:col>7</xdr:col>
                    <xdr:colOff>45720</xdr:colOff>
                    <xdr:row>18</xdr:row>
                    <xdr:rowOff>7620</xdr:rowOff>
                  </from>
                  <to>
                    <xdr:col>7</xdr:col>
                    <xdr:colOff>243840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Spinner 15">
              <controlPr defaultSize="0" autoPict="0">
                <anchor moveWithCells="1" sizeWithCells="1">
                  <from>
                    <xdr:col>7</xdr:col>
                    <xdr:colOff>45720</xdr:colOff>
                    <xdr:row>18</xdr:row>
                    <xdr:rowOff>7620</xdr:rowOff>
                  </from>
                  <to>
                    <xdr:col>7</xdr:col>
                    <xdr:colOff>243840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Spinner 16">
              <controlPr defaultSize="0" autoPict="0">
                <anchor moveWithCells="1" sizeWithCells="1">
                  <from>
                    <xdr:col>7</xdr:col>
                    <xdr:colOff>45720</xdr:colOff>
                    <xdr:row>19</xdr:row>
                    <xdr:rowOff>7620</xdr:rowOff>
                  </from>
                  <to>
                    <xdr:col>7</xdr:col>
                    <xdr:colOff>243840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croll Bar 17">
              <controlPr defaultSize="0" print="0" autoPict="0">
                <anchor moveWithCells="1">
                  <from>
                    <xdr:col>21</xdr:col>
                    <xdr:colOff>152400</xdr:colOff>
                    <xdr:row>1</xdr:row>
                    <xdr:rowOff>38100</xdr:rowOff>
                  </from>
                  <to>
                    <xdr:col>37</xdr:col>
                    <xdr:colOff>198120</xdr:colOff>
                    <xdr:row>1</xdr:row>
                    <xdr:rowOff>320040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55392A-6F54-4D49-9037-5BA2C5C857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D7:D20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Escobar</dc:creator>
  <cp:lastModifiedBy>Nelson Escobar</cp:lastModifiedBy>
  <dcterms:created xsi:type="dcterms:W3CDTF">2025-10-26T20:56:43Z</dcterms:created>
  <dcterms:modified xsi:type="dcterms:W3CDTF">2025-10-26T22:05:29Z</dcterms:modified>
</cp:coreProperties>
</file>